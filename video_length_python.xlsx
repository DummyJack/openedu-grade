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/Documents/績學網成績計算/"/>
    </mc:Choice>
  </mc:AlternateContent>
  <xr:revisionPtr revIDLastSave="0" documentId="13_ncr:1_{1EF96258-6069-0043-943C-BAE9DDE4B8E0}" xr6:coauthVersionLast="47" xr6:coauthVersionMax="47" xr10:uidLastSave="{00000000-0000-0000-0000-000000000000}"/>
  <bookViews>
    <workbookView xWindow="0" yWindow="600" windowWidth="38400" windowHeight="18540" xr2:uid="{57E6D3CE-B408-4F18-B7A7-151824CB1BF4}"/>
  </bookViews>
  <sheets>
    <sheet name="影片總表" sheetId="1" r:id="rId1"/>
    <sheet name="學生紀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12" i="1"/>
  <c r="D72" i="1"/>
  <c r="E72" i="1"/>
  <c r="F72" i="1"/>
  <c r="C72" i="1"/>
  <c r="A72" i="1" l="1"/>
  <c r="B72" i="1"/>
  <c r="G15" i="1"/>
  <c r="H15" i="1"/>
  <c r="I15" i="1"/>
  <c r="K15" i="1" s="1"/>
  <c r="K65" i="1"/>
  <c r="G14" i="1"/>
  <c r="H14" i="1"/>
  <c r="I14" i="1"/>
  <c r="K14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61" i="1"/>
  <c r="K61" i="1" s="1"/>
  <c r="I62" i="1"/>
  <c r="K62" i="1" s="1"/>
  <c r="I63" i="1"/>
  <c r="K63" i="1" s="1"/>
  <c r="I64" i="1"/>
  <c r="K6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G29" i="1"/>
  <c r="H29" i="1"/>
  <c r="I29" i="1"/>
  <c r="K29" i="1" s="1"/>
  <c r="K2" i="1"/>
  <c r="K16" i="1"/>
  <c r="K24" i="1"/>
  <c r="G3" i="1"/>
  <c r="H3" i="1"/>
  <c r="I3" i="1"/>
  <c r="K3" i="1" s="1"/>
  <c r="G4" i="1"/>
  <c r="H4" i="1"/>
  <c r="I4" i="1"/>
  <c r="K4" i="1" s="1"/>
  <c r="G5" i="1"/>
  <c r="H5" i="1"/>
  <c r="I5" i="1"/>
  <c r="K5" i="1" s="1"/>
  <c r="G6" i="1"/>
  <c r="H6" i="1"/>
  <c r="I6" i="1"/>
  <c r="K6" i="1" s="1"/>
  <c r="G7" i="1"/>
  <c r="H7" i="1"/>
  <c r="I7" i="1"/>
  <c r="K7" i="1" s="1"/>
  <c r="G8" i="1"/>
  <c r="H8" i="1"/>
  <c r="I8" i="1"/>
  <c r="K8" i="1" s="1"/>
  <c r="G9" i="1"/>
  <c r="H9" i="1"/>
  <c r="I9" i="1"/>
  <c r="K9" i="1" s="1"/>
  <c r="G10" i="1"/>
  <c r="H10" i="1"/>
  <c r="I10" i="1"/>
  <c r="K10" i="1" s="1"/>
  <c r="G11" i="1"/>
  <c r="H11" i="1"/>
  <c r="I11" i="1"/>
  <c r="K11" i="1" s="1"/>
  <c r="H12" i="1"/>
  <c r="I12" i="1"/>
  <c r="K12" i="1" s="1"/>
  <c r="G13" i="1"/>
  <c r="H13" i="1"/>
  <c r="I13" i="1"/>
  <c r="K13" i="1" s="1"/>
  <c r="G17" i="1"/>
  <c r="H17" i="1"/>
  <c r="I17" i="1"/>
  <c r="K17" i="1" s="1"/>
  <c r="G18" i="1"/>
  <c r="H18" i="1"/>
  <c r="I18" i="1"/>
  <c r="K18" i="1" s="1"/>
  <c r="G19" i="1"/>
  <c r="H19" i="1"/>
  <c r="I19" i="1"/>
  <c r="K19" i="1" s="1"/>
  <c r="G20" i="1"/>
  <c r="H20" i="1"/>
  <c r="I20" i="1"/>
  <c r="K20" i="1" s="1"/>
  <c r="G21" i="1"/>
  <c r="H21" i="1"/>
  <c r="I21" i="1"/>
  <c r="K21" i="1" s="1"/>
  <c r="G22" i="1"/>
  <c r="H22" i="1"/>
  <c r="I22" i="1"/>
  <c r="K22" i="1" s="1"/>
  <c r="G23" i="1"/>
  <c r="H23" i="1"/>
  <c r="I23" i="1"/>
  <c r="K23" i="1" s="1"/>
  <c r="G25" i="1"/>
  <c r="H25" i="1"/>
  <c r="I25" i="1"/>
  <c r="K25" i="1" s="1"/>
  <c r="G26" i="1"/>
  <c r="H26" i="1"/>
  <c r="I26" i="1"/>
  <c r="K26" i="1" s="1"/>
  <c r="G27" i="1"/>
  <c r="H27" i="1"/>
  <c r="I27" i="1"/>
  <c r="K27" i="1" s="1"/>
  <c r="G28" i="1"/>
  <c r="H28" i="1"/>
  <c r="I28" i="1"/>
  <c r="K28" i="1" s="1"/>
  <c r="G30" i="1"/>
  <c r="H30" i="1"/>
  <c r="I30" i="1"/>
  <c r="K30" i="1" s="1"/>
  <c r="G31" i="1"/>
  <c r="H31" i="1"/>
  <c r="I31" i="1"/>
  <c r="K31" i="1" s="1"/>
  <c r="G32" i="1"/>
  <c r="H32" i="1"/>
  <c r="I32" i="1"/>
  <c r="K32" i="1" s="1"/>
  <c r="G33" i="1"/>
  <c r="H33" i="1"/>
  <c r="I33" i="1"/>
  <c r="K33" i="1" s="1"/>
  <c r="K34" i="1"/>
  <c r="H35" i="1"/>
  <c r="I35" i="1"/>
  <c r="K35" i="1" s="1"/>
  <c r="G36" i="1"/>
  <c r="H36" i="1"/>
  <c r="I36" i="1"/>
  <c r="K36" i="1" s="1"/>
  <c r="G37" i="1"/>
  <c r="H37" i="1"/>
  <c r="I37" i="1"/>
  <c r="K37" i="1" s="1"/>
  <c r="G38" i="1"/>
  <c r="H38" i="1"/>
  <c r="I38" i="1"/>
  <c r="K38" i="1" s="1"/>
  <c r="G39" i="1"/>
  <c r="H39" i="1"/>
  <c r="I39" i="1"/>
  <c r="K39" i="1" s="1"/>
  <c r="G40" i="1"/>
  <c r="H40" i="1"/>
  <c r="I40" i="1"/>
  <c r="K40" i="1" s="1"/>
  <c r="G41" i="1"/>
  <c r="H41" i="1"/>
  <c r="I41" i="1"/>
  <c r="K41" i="1" s="1"/>
  <c r="G42" i="1"/>
  <c r="H42" i="1"/>
  <c r="I42" i="1"/>
  <c r="K42" i="1" s="1"/>
  <c r="K43" i="1"/>
  <c r="G44" i="1"/>
  <c r="H44" i="1"/>
  <c r="I44" i="1"/>
  <c r="K44" i="1" s="1"/>
  <c r="G45" i="1"/>
  <c r="H45" i="1"/>
  <c r="I45" i="1"/>
  <c r="K45" i="1" s="1"/>
  <c r="G46" i="1"/>
  <c r="H46" i="1"/>
  <c r="I46" i="1"/>
  <c r="K46" i="1" s="1"/>
  <c r="G47" i="1"/>
  <c r="H47" i="1"/>
  <c r="I47" i="1"/>
  <c r="K47" i="1" s="1"/>
  <c r="G48" i="1"/>
  <c r="H48" i="1"/>
  <c r="I48" i="1"/>
  <c r="K48" i="1" s="1"/>
  <c r="G49" i="1"/>
  <c r="H49" i="1"/>
  <c r="I49" i="1"/>
  <c r="K49" i="1" s="1"/>
  <c r="G50" i="1"/>
  <c r="H50" i="1"/>
  <c r="I50" i="1"/>
  <c r="K50" i="1" s="1"/>
  <c r="G51" i="1"/>
  <c r="H51" i="1"/>
  <c r="I51" i="1"/>
  <c r="K51" i="1" s="1"/>
  <c r="G52" i="1"/>
  <c r="H52" i="1"/>
  <c r="I52" i="1"/>
  <c r="K52" i="1" s="1"/>
  <c r="G53" i="1"/>
  <c r="H53" i="1"/>
  <c r="I53" i="1"/>
  <c r="K53" i="1" s="1"/>
  <c r="K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6" i="1"/>
  <c r="H66" i="1"/>
  <c r="G67" i="1"/>
  <c r="H67" i="1"/>
  <c r="G68" i="1"/>
  <c r="H68" i="1"/>
  <c r="G69" i="1"/>
  <c r="H69" i="1"/>
  <c r="G70" i="1"/>
  <c r="H70" i="1"/>
  <c r="G71" i="1"/>
  <c r="H71" i="1"/>
  <c r="N11" i="1" l="1" a="1"/>
  <c r="N11" i="1" s="1"/>
  <c r="N13" i="1" s="1"/>
  <c r="O20" i="1"/>
  <c r="O22" i="1" s="1"/>
  <c r="O14" i="1"/>
  <c r="O16" i="1" s="1"/>
  <c r="O17" i="1"/>
  <c r="O19" i="1" s="1"/>
  <c r="N20" i="1" a="1"/>
  <c r="N20" i="1" s="1"/>
  <c r="N22" i="1" s="1"/>
  <c r="N14" i="1" a="1"/>
  <c r="N14" i="1" s="1"/>
  <c r="N16" i="1" s="1"/>
  <c r="N17" i="1" a="1"/>
  <c r="N17" i="1" s="1"/>
  <c r="N19" i="1" s="1"/>
  <c r="O11" i="1"/>
  <c r="O13" i="1" s="1"/>
  <c r="N3" i="1" a="1"/>
  <c r="N3" i="1" s="1"/>
  <c r="N5" i="1" s="1"/>
  <c r="O3" i="1"/>
  <c r="O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<sst xmlns="http://schemas.openxmlformats.org/spreadsheetml/2006/main" count="220" uniqueCount="93">
  <si>
    <t># 第一章</t>
  </si>
  <si>
    <t>Video: Python 簡介</t>
  </si>
  <si>
    <t>A. 介紹</t>
  </si>
  <si>
    <t>B. Python.org 及 TutorialPoint 線上執行</t>
  </si>
  <si>
    <t>C. 檢查你是否已有 Python 環境 (MAC 蘋果電腦)</t>
  </si>
  <si>
    <t>C. 檢查你是否已有 Python 環境 (Window 電腦)</t>
  </si>
  <si>
    <t>D. Python 環境的安裝</t>
  </si>
  <si>
    <t>E. Sublime 編輯器使用</t>
  </si>
  <si>
    <t>Video: Google COLAB (補充教材)</t>
  </si>
  <si>
    <t>Video: IDLE editor</t>
  </si>
  <si>
    <t>Video: Anaconda的安裝與使用</t>
  </si>
  <si>
    <t>Video: Spyder開發環境介紹</t>
  </si>
  <si>
    <t># 第二章</t>
  </si>
  <si>
    <t>Video: 單元二課程介紹</t>
  </si>
  <si>
    <t>Video: 程式的基本結構</t>
  </si>
  <si>
    <t>Video: 變數</t>
  </si>
  <si>
    <t>Video: 基本運算</t>
  </si>
  <si>
    <t>Video: 輸入與輸出</t>
  </si>
  <si>
    <t>Video: 程式錯誤</t>
  </si>
  <si>
    <t>Video: 程式註解</t>
  </si>
  <si>
    <t># 第三章</t>
  </si>
  <si>
    <t>Video: 單元三課程介紹</t>
  </si>
  <si>
    <t>Video: 分支</t>
  </si>
  <si>
    <t>Video: while loop</t>
  </si>
  <si>
    <t>Video: for range</t>
  </si>
  <si>
    <t>Video: breakpoint</t>
  </si>
  <si>
    <t>韓信點兵</t>
  </si>
  <si>
    <t>Video: busy turtle</t>
  </si>
  <si>
    <t>Video: guess number</t>
  </si>
  <si>
    <t>Video: 單元四課程介紹</t>
  </si>
  <si>
    <t>Video: List 集合物件介紹</t>
  </si>
  <si>
    <t>Video: List 資料的查詢與擷取</t>
  </si>
  <si>
    <t>Video: 氣泡排序法</t>
  </si>
  <si>
    <t>Video: 只能讀不能修改的資料集- Tuple</t>
  </si>
  <si>
    <t>Video: 沒有順序的資料集- Set</t>
  </si>
  <si>
    <t>Video: Dictionary</t>
  </si>
  <si>
    <t>Video: open data</t>
  </si>
  <si>
    <t>video: 單元五介紹</t>
  </si>
  <si>
    <t>Video: Function</t>
  </si>
  <si>
    <t>Video: 參數的傳遞</t>
  </si>
  <si>
    <t>Video: lambda</t>
  </si>
  <si>
    <t>Video: Exception</t>
  </si>
  <si>
    <t>Video: Hanoi tower</t>
  </si>
  <si>
    <t>Video: Tic Tac Toe</t>
  </si>
  <si>
    <t>Video: 套件應用: 影片下載</t>
  </si>
  <si>
    <t>Video: 套件應用: 台灣股價</t>
  </si>
  <si>
    <t>Video: 套件應用: 用 line 傳股價</t>
  </si>
  <si>
    <t>Video: 單元六介紹</t>
  </si>
  <si>
    <t>Video: Pandas 介紹</t>
  </si>
  <si>
    <t>Video: Pandas 實作</t>
  </si>
  <si>
    <t>Video: 遺失資料之處理</t>
  </si>
  <si>
    <t>Video: 資料表合併</t>
  </si>
  <si>
    <t>Video: 圖表繪製</t>
  </si>
  <si>
    <t>Video: 新北 YourBike 分析（ㄧ）</t>
  </si>
  <si>
    <t>Video: 新北 YourBike 分析（二）</t>
  </si>
  <si>
    <t>Video: 大專院校學生（一）</t>
  </si>
  <si>
    <t>Video: 大專院校學生（二）</t>
  </si>
  <si>
    <t>物件導向設計觀念</t>
  </si>
  <si>
    <t>私有屬性</t>
  </si>
  <si>
    <t>特性之應用</t>
  </si>
  <si>
    <t>類別變數</t>
  </si>
  <si>
    <t>特殊方法之設計</t>
  </si>
  <si>
    <t>繼承</t>
  </si>
  <si>
    <t>影片</t>
    <phoneticPr fontId="2" type="noConversion"/>
  </si>
  <si>
    <t># 第四章</t>
    <phoneticPr fontId="2" type="noConversion"/>
  </si>
  <si>
    <t># 第五章</t>
    <phoneticPr fontId="2" type="noConversion"/>
  </si>
  <si>
    <t># 第六章</t>
    <phoneticPr fontId="2" type="noConversion"/>
  </si>
  <si>
    <t># 第七章</t>
    <phoneticPr fontId="2" type="noConversion"/>
  </si>
  <si>
    <t>影片名稱</t>
  </si>
  <si>
    <t>觀看數</t>
  </si>
  <si>
    <t>觀看時間(分)</t>
  </si>
  <si>
    <t>影片長度(分)</t>
  </si>
  <si>
    <t>完看率</t>
  </si>
  <si>
    <t>學生觀看時間</t>
    <phoneticPr fontId="2" type="noConversion"/>
  </si>
  <si>
    <t>學生觀看完成率</t>
    <phoneticPr fontId="2" type="noConversion"/>
  </si>
  <si>
    <t>學生觀看次數</t>
    <phoneticPr fontId="2" type="noConversion"/>
  </si>
  <si>
    <t>調整後看完率</t>
    <phoneticPr fontId="2" type="noConversion"/>
  </si>
  <si>
    <t>Video: for range2</t>
    <phoneticPr fontId="2" type="noConversion"/>
  </si>
  <si>
    <t>成績計算</t>
    <phoneticPr fontId="2" type="noConversion"/>
  </si>
  <si>
    <t>影觀</t>
  </si>
  <si>
    <t>影觀全</t>
  </si>
  <si>
    <t>第一次</t>
    <phoneticPr fontId="2" type="noConversion"/>
  </si>
  <si>
    <t>第二次</t>
    <phoneticPr fontId="2" type="noConversion"/>
  </si>
  <si>
    <t>第三次</t>
    <phoneticPr fontId="2" type="noConversion"/>
  </si>
  <si>
    <t>v</t>
    <phoneticPr fontId="2" type="noConversion"/>
  </si>
  <si>
    <t>觀看紀錄</t>
    <phoneticPr fontId="2" type="noConversion"/>
  </si>
  <si>
    <t>X</t>
    <phoneticPr fontId="2" type="noConversion"/>
  </si>
  <si>
    <t>VS Code 的安裝與使用</t>
  </si>
  <si>
    <t>了解更多關於 Google Colabo (補充教材)</t>
  </si>
  <si>
    <t>期末</t>
    <phoneticPr fontId="2" type="noConversion"/>
  </si>
  <si>
    <t>Video: Anaconda的安裝與使用</t>
    <phoneticPr fontId="2" type="noConversion"/>
  </si>
  <si>
    <t>第四次</t>
    <phoneticPr fontId="2" type="noConversion"/>
  </si>
  <si>
    <t>成績計算(階段)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</si>
</sst>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9" fontId="3" fillId="0" borderId="0" xfId="1" applyFont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9" fontId="3" fillId="0" borderId="5" xfId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0" fontId="3" fillId="0" borderId="10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5" fillId="0" borderId="0" xfId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30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7A6BA3-530E-441C-88D8-0CD2184AB292}" name="表格4" displayName="表格4" ref="A1:K72" totalsRowCount="1" headerRowDxfId="28" dataDxfId="26" totalsRowDxfId="24" headerRowBorderDxfId="27" tableBorderDxfId="25" headerRowCellStyle="百分比">
  <autoFilter ref="A1:K71" xr:uid="{D47A6BA3-530E-441C-88D8-0CD2184AB292}"/>
  <tableColumns count="11">
    <tableColumn id="1" xr3:uid="{A1E8B3E9-B183-4CF2-B190-8B895E0495BE}" name="影片" totalsRowFunction="custom" dataDxfId="23" totalsRowDxfId="22">
      <totalsRowFormula>SUBTOTAL(103,表格4[影片])-7</totalsRowFormula>
    </tableColumn>
    <tableColumn id="2" xr3:uid="{F97290A0-CBED-41D9-AB1E-5140F4A541F8}" name="影片長度(分)" totalsRowFunction="sum" dataDxfId="21" totalsRowDxfId="20"/>
    <tableColumn id="3" xr3:uid="{556BF54B-3153-4A3B-9B1C-BB50BBFB8068}" name="第一次" totalsRowFunction="count" dataDxfId="19" totalsRowDxfId="18"/>
    <tableColumn id="9" xr3:uid="{94BD4C2E-78BF-4423-952B-51BDE1A80923}" name="第二次" totalsRowFunction="count" dataDxfId="17" totalsRowDxfId="16"/>
    <tableColumn id="10" xr3:uid="{EEDA0346-736D-48F3-B239-A6DE98C5B8BA}" name="第三次" totalsRowFunction="count" dataDxfId="15" totalsRowDxfId="14"/>
    <tableColumn id="8" xr3:uid="{50E01CB6-7037-4412-9EAA-4B28DDA850B1}" name="第四次" totalsRowFunction="count" dataDxfId="13" totalsRowDxfId="12"/>
    <tableColumn id="4" xr3:uid="{C7A93E53-0D8D-494B-A136-30DEEF731217}" name="學生觀看次數" dataDxfId="11" totalsRowDxfId="10">
      <calculatedColumnFormula>IF(COUNTIF(表格1[#All],$A2)&gt;0,VLOOKUP($A2,表格1[#All],2,FALSE),"")</calculatedColumnFormula>
    </tableColumn>
    <tableColumn id="5" xr3:uid="{3CA37BFD-1642-463F-B59E-165652AD2458}" name="學生觀看時間" dataDxfId="9" totalsRowDxfId="8">
      <calculatedColumnFormula>IF(COUNTIF(表格1[#All],$A2)&gt;0,VLOOKUP($A2,表格1[#All],3,FALSE),"")</calculatedColumnFormula>
    </tableColumn>
    <tableColumn id="6" xr3:uid="{952AE5AF-1C40-4D3A-A764-889A0F30BEA9}" name="學生觀看完成率" dataDxfId="7" totalsRowDxfId="6" dataCellStyle="百分比">
      <calculatedColumnFormula>IF(COUNTIF(表格1[#All],$A2)&gt;0,VLOOKUP($A2,表格1[#All],5,FALSE),"")</calculatedColumnFormula>
    </tableColumn>
    <tableColumn id="7" xr3:uid="{D4E0D845-EAFD-4CEE-943C-BC428382BE90}" name="調整後看完率" dataDxfId="5" totalsRowDxfId="4" dataCellStyle="百分比"/>
    <tableColumn id="11" xr3:uid="{3BE8B4DA-BB19-4A41-8CE9-E442E64E9F60}" name="觀看紀錄" dataDxfId="3" totalsRowDxfId="2">
      <calculatedColumnFormula>表格4[[#This Row],[影片長度(分)]]*N(MAX(表格4[[#This Row],[調整後看完率]],表格4[[#This Row],[學生觀看完成率]]))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A997A-A1A4-4800-943F-BD86C5CFDA7A}" name="表格1" displayName="表格1" ref="A1:E40" totalsRowShown="0">
  <autoFilter ref="A1:E40" xr:uid="{834A997A-A1A4-4800-943F-BD86C5CFDA7A}"/>
  <sortState xmlns:xlrd2="http://schemas.microsoft.com/office/spreadsheetml/2017/richdata2" ref="A2:E2">
    <sortCondition ref="A1:A2"/>
  </sortState>
  <tableColumns count="5">
    <tableColumn id="1" xr3:uid="{4FA7A391-52AB-4AC8-A3B9-C1FD736EB931}" name="影片名稱"/>
    <tableColumn id="2" xr3:uid="{1155D30C-331A-4EE5-9CCE-D702D5DA9D54}" name="觀看數"/>
    <tableColumn id="3" xr3:uid="{1CFF9BF2-9988-4F55-AAC2-82B0119BADC9}" name="觀看時間(分)"/>
    <tableColumn id="4" xr3:uid="{24B0BE53-DD8F-480B-A897-0F13F9E648E9}" name="影片長度(分)"/>
    <tableColumn id="5" xr3:uid="{D3D70232-448E-491D-BEF7-32DECC7FC25C}" name="完看率" dataDxfId="2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1CD0-6A33-4160-8AF1-7ED2FBE719F2}">
  <dimension ref="A1:O72"/>
  <sheetViews>
    <sheetView tabSelected="1" zoomScaleNormal="100" workbookViewId="0">
      <selection activeCell="N11" sqref="N11"/>
    </sheetView>
  </sheetViews>
  <sheetFormatPr baseColWidth="10" defaultColWidth="9" defaultRowHeight="15"/>
  <cols>
    <col min="1" max="1" width="51.1640625" style="4" bestFit="1" customWidth="1"/>
    <col min="2" max="2" width="14.6640625" style="1" customWidth="1"/>
    <col min="3" max="6" width="12.1640625" style="1" customWidth="1"/>
    <col min="7" max="7" width="16.1640625" style="1" customWidth="1"/>
    <col min="8" max="8" width="16.83203125" style="5" customWidth="1"/>
    <col min="9" max="9" width="16.1640625" style="31" customWidth="1"/>
    <col min="10" max="10" width="16.1640625" style="11" customWidth="1"/>
    <col min="11" max="11" width="14.1640625" style="2" customWidth="1"/>
    <col min="12" max="12" width="2" style="1" customWidth="1"/>
    <col min="13" max="14" width="10.6640625" style="1" customWidth="1"/>
    <col min="15" max="16384" width="9" style="2"/>
  </cols>
  <sheetData>
    <row r="1" spans="1:15" s="1" customFormat="1">
      <c r="A1" s="20" t="s">
        <v>63</v>
      </c>
      <c r="B1" s="14" t="s">
        <v>71</v>
      </c>
      <c r="C1" s="14" t="s">
        <v>81</v>
      </c>
      <c r="D1" s="14" t="s">
        <v>82</v>
      </c>
      <c r="E1" s="14" t="s">
        <v>83</v>
      </c>
      <c r="F1" s="14" t="s">
        <v>91</v>
      </c>
      <c r="G1" s="14" t="s">
        <v>75</v>
      </c>
      <c r="H1" s="14" t="s">
        <v>73</v>
      </c>
      <c r="I1" s="27" t="s">
        <v>74</v>
      </c>
      <c r="J1" s="21" t="s">
        <v>76</v>
      </c>
      <c r="K1" s="22" t="s">
        <v>85</v>
      </c>
      <c r="M1" s="35" t="s">
        <v>78</v>
      </c>
      <c r="N1" s="35"/>
      <c r="O1" s="35"/>
    </row>
    <row r="2" spans="1:15">
      <c r="A2" s="15" t="s">
        <v>0</v>
      </c>
      <c r="B2" s="10"/>
      <c r="C2" s="12"/>
      <c r="D2" s="12"/>
      <c r="E2" s="12"/>
      <c r="F2" s="12"/>
      <c r="G2" s="7" t="s">
        <v>86</v>
      </c>
      <c r="H2" s="7" t="s">
        <v>86</v>
      </c>
      <c r="I2" s="28" t="s">
        <v>86</v>
      </c>
      <c r="J2" s="7">
        <v>0</v>
      </c>
      <c r="K2" s="16">
        <f>表格4[[#This Row],[影片長度(分)]]*N(MAX(表格4[[#This Row],[調整後看完率]],表格4[[#This Row],[學生觀看完成率]]))</f>
        <v>0</v>
      </c>
      <c r="L2" s="2"/>
      <c r="M2" s="12"/>
      <c r="N2" s="12" t="s">
        <v>79</v>
      </c>
      <c r="O2" s="12" t="s">
        <v>80</v>
      </c>
    </row>
    <row r="3" spans="1:15">
      <c r="A3" s="15" t="s">
        <v>1</v>
      </c>
      <c r="B3" s="12">
        <v>5</v>
      </c>
      <c r="C3" s="12" t="s">
        <v>84</v>
      </c>
      <c r="D3" s="12"/>
      <c r="E3" s="12"/>
      <c r="F3" s="12"/>
      <c r="G3" s="12">
        <f>IF(COUNTIF(表格1[#All],$A3)&gt;0,VLOOKUP($A3,表格1[#All],2,FALSE),"")</f>
        <v>5</v>
      </c>
      <c r="H3" s="12">
        <f>IF(COUNTIF(表格1[#All],$A3)&gt;0,VLOOKUP($A3,表格1[#All],3,FALSE),"")</f>
        <v>5</v>
      </c>
      <c r="I3" s="28">
        <f>IF(COUNTIF(表格1[#All],$A3)&gt;0,VLOOKUP($A3,表格1[#All],5,FALSE),"")</f>
        <v>1</v>
      </c>
      <c r="J3" s="7">
        <v>0</v>
      </c>
      <c r="K3" s="16">
        <f>表格4[[#This Row],[影片長度(分)]]*N(MAX(表格4[[#This Row],[調整後看完率]],表格4[[#This Row],[學生觀看完成率]]))</f>
        <v>5</v>
      </c>
      <c r="L3" s="2"/>
      <c r="M3" s="35" t="s">
        <v>89</v>
      </c>
      <c r="N3" s="8" cm="1">
        <f t="array" ref="N3">ROWS(_xlfn._xlws.FILTER(表格4[], (LEFT(表格4[影片], 1) &lt;&gt; "#") * (表格4[學生觀看次數] &lt;&gt; "")))/表格4[[#Totals],[影片]]</f>
        <v>0.61904761904761907</v>
      </c>
      <c r="O3" s="8">
        <f>SUM(表格4[觀看紀錄])/表格4[[#Totals],[影片長度(分)]]</f>
        <v>0.62718446601941746</v>
      </c>
    </row>
    <row r="4" spans="1:15">
      <c r="A4" s="15" t="s">
        <v>2</v>
      </c>
      <c r="B4" s="12">
        <v>15</v>
      </c>
      <c r="C4" s="12" t="s">
        <v>84</v>
      </c>
      <c r="D4" s="12"/>
      <c r="E4" s="12"/>
      <c r="F4" s="12"/>
      <c r="G4" s="12">
        <f>IF(COUNTIF(表格1[#All],$A4)&gt;0,VLOOKUP($A4,表格1[#All],2,FALSE),"")</f>
        <v>20</v>
      </c>
      <c r="H4" s="12">
        <f>IF(COUNTIF(表格1[#All],$A4)&gt;0,VLOOKUP($A4,表格1[#All],3,FALSE),"")</f>
        <v>2</v>
      </c>
      <c r="I4" s="28">
        <f>IF(COUNTIF(表格1[#All],$A4)&gt;0,VLOOKUP($A4,表格1[#All],5,FALSE),"")</f>
        <v>1</v>
      </c>
      <c r="J4" s="7">
        <v>0</v>
      </c>
      <c r="K4" s="16">
        <f>表格4[[#This Row],[影片長度(分)]]*N(MAX(表格4[[#This Row],[調整後看完率]],表格4[[#This Row],[學生觀看完成率]]))</f>
        <v>15</v>
      </c>
      <c r="L4" s="2"/>
      <c r="M4" s="35"/>
      <c r="N4" s="6">
        <v>1</v>
      </c>
      <c r="O4" s="6">
        <v>1</v>
      </c>
    </row>
    <row r="5" spans="1:15">
      <c r="A5" s="15" t="s">
        <v>3</v>
      </c>
      <c r="B5" s="12">
        <v>14</v>
      </c>
      <c r="C5" s="12" t="s">
        <v>84</v>
      </c>
      <c r="D5" s="12"/>
      <c r="E5" s="12"/>
      <c r="F5" s="12"/>
      <c r="G5" s="12">
        <f>IF(COUNTIF(表格1[#All],$A5)&gt;0,VLOOKUP($A5,表格1[#All],2,FALSE),"")</f>
        <v>21</v>
      </c>
      <c r="H5" s="12">
        <f>IF(COUNTIF(表格1[#All],$A5)&gt;0,VLOOKUP($A5,表格1[#All],3,FALSE),"")</f>
        <v>5</v>
      </c>
      <c r="I5" s="28">
        <f>IF(COUNTIF(表格1[#All],$A5)&gt;0,VLOOKUP($A5,表格1[#All],5,FALSE),"")</f>
        <v>1</v>
      </c>
      <c r="J5" s="7">
        <v>0</v>
      </c>
      <c r="K5" s="16">
        <f>表格4[[#This Row],[影片長度(分)]]*N(MAX(表格4[[#This Row],[調整後看完率]],表格4[[#This Row],[學生觀看完成率]]))</f>
        <v>14</v>
      </c>
      <c r="L5" s="2"/>
      <c r="M5" s="35"/>
      <c r="N5" s="9">
        <f>MIN(N3/N4, 100%)</f>
        <v>0.61904761904761907</v>
      </c>
      <c r="O5" s="9">
        <f>MIN(O3/O4, 100%)</f>
        <v>0.62718446601941746</v>
      </c>
    </row>
    <row r="6" spans="1:15">
      <c r="A6" s="15" t="s">
        <v>4</v>
      </c>
      <c r="B6" s="12">
        <v>14</v>
      </c>
      <c r="C6" s="12" t="s">
        <v>84</v>
      </c>
      <c r="D6" s="12"/>
      <c r="E6" s="12"/>
      <c r="F6" s="12"/>
      <c r="G6" s="12">
        <f>IF(COUNTIF(表格1[#All],$A6)&gt;0,VLOOKUP($A6,表格1[#All],2,FALSE),"")</f>
        <v>20</v>
      </c>
      <c r="H6" s="12">
        <f>IF(COUNTIF(表格1[#All],$A6)&gt;0,VLOOKUP($A6,表格1[#All],3,FALSE),"")</f>
        <v>8</v>
      </c>
      <c r="I6" s="28">
        <f>IF(COUNTIF(表格1[#All],$A6)&gt;0,VLOOKUP($A6,表格1[#All],5,FALSE),"")</f>
        <v>1</v>
      </c>
      <c r="J6" s="7">
        <v>0</v>
      </c>
      <c r="K6" s="16">
        <f>表格4[[#This Row],[影片長度(分)]]*N(MAX(表格4[[#This Row],[調整後看完率]],表格4[[#This Row],[學生觀看完成率]]))</f>
        <v>14</v>
      </c>
      <c r="L6" s="2"/>
      <c r="M6" s="2"/>
      <c r="N6" s="2"/>
    </row>
    <row r="7" spans="1:15">
      <c r="A7" s="15" t="s">
        <v>5</v>
      </c>
      <c r="B7" s="12">
        <v>14</v>
      </c>
      <c r="C7" s="12" t="s">
        <v>84</v>
      </c>
      <c r="D7" s="12"/>
      <c r="E7" s="12"/>
      <c r="F7" s="12"/>
      <c r="G7" s="12">
        <f>IF(COUNTIF(表格1[#All],$A7)&gt;0,VLOOKUP($A7,表格1[#All],2,FALSE),"")</f>
        <v>20</v>
      </c>
      <c r="H7" s="12">
        <f>IF(COUNTIF(表格1[#All],$A7)&gt;0,VLOOKUP($A7,表格1[#All],3,FALSE),"")</f>
        <v>9</v>
      </c>
      <c r="I7" s="28">
        <f>IF(COUNTIF(表格1[#All],$A7)&gt;0,VLOOKUP($A7,表格1[#All],5,FALSE),"")</f>
        <v>1</v>
      </c>
      <c r="J7" s="7">
        <v>0</v>
      </c>
      <c r="K7" s="16">
        <f>表格4[[#This Row],[影片長度(分)]]*N(MAX(表格4[[#This Row],[調整後看完率]],表格4[[#This Row],[學生觀看完成率]]))</f>
        <v>14</v>
      </c>
      <c r="L7" s="2"/>
      <c r="M7" s="2"/>
      <c r="N7" s="2"/>
    </row>
    <row r="8" spans="1:15">
      <c r="A8" s="15" t="s">
        <v>6</v>
      </c>
      <c r="B8" s="12">
        <v>14</v>
      </c>
      <c r="C8" s="12" t="s">
        <v>84</v>
      </c>
      <c r="D8" s="12"/>
      <c r="E8" s="12"/>
      <c r="F8" s="12"/>
      <c r="G8" s="12">
        <f>IF(COUNTIF(表格1[#All],$A8)&gt;0,VLOOKUP($A8,表格1[#All],2,FALSE),"")</f>
        <v>19</v>
      </c>
      <c r="H8" s="12">
        <f>IF(COUNTIF(表格1[#All],$A8)&gt;0,VLOOKUP($A8,表格1[#All],3,FALSE),"")</f>
        <v>11</v>
      </c>
      <c r="I8" s="28">
        <f>IF(COUNTIF(表格1[#All],$A8)&gt;0,VLOOKUP($A8,表格1[#All],5,FALSE),"")</f>
        <v>1</v>
      </c>
      <c r="J8" s="7">
        <v>0</v>
      </c>
      <c r="K8" s="16">
        <f>表格4[[#This Row],[影片長度(分)]]*N(MAX(表格4[[#This Row],[調整後看完率]],表格4[[#This Row],[學生觀看完成率]]))</f>
        <v>14</v>
      </c>
      <c r="L8" s="2"/>
      <c r="M8" s="2"/>
      <c r="N8" s="2"/>
    </row>
    <row r="9" spans="1:15">
      <c r="A9" s="15" t="s">
        <v>7</v>
      </c>
      <c r="B9" s="12">
        <v>15</v>
      </c>
      <c r="C9" s="12" t="s">
        <v>84</v>
      </c>
      <c r="D9" s="12"/>
      <c r="E9" s="12"/>
      <c r="F9" s="12"/>
      <c r="G9" s="12">
        <f>IF(COUNTIF(表格1[#All],$A9)&gt;0,VLOOKUP($A9,表格1[#All],2,FALSE),"")</f>
        <v>20</v>
      </c>
      <c r="H9" s="12">
        <f>IF(COUNTIF(表格1[#All],$A9)&gt;0,VLOOKUP($A9,表格1[#All],3,FALSE),"")</f>
        <v>14</v>
      </c>
      <c r="I9" s="28">
        <f>IF(COUNTIF(表格1[#All],$A9)&gt;0,VLOOKUP($A9,表格1[#All],5,FALSE),"")</f>
        <v>1</v>
      </c>
      <c r="J9" s="7">
        <v>0</v>
      </c>
      <c r="K9" s="16">
        <f>表格4[[#This Row],[影片長度(分)]]*N(MAX(表格4[[#This Row],[調整後看完率]],表格4[[#This Row],[學生觀看完成率]]))</f>
        <v>15</v>
      </c>
      <c r="L9" s="2"/>
      <c r="M9" s="35" t="s">
        <v>92</v>
      </c>
      <c r="N9" s="35"/>
      <c r="O9" s="35"/>
    </row>
    <row r="10" spans="1:15">
      <c r="A10" s="15" t="s">
        <v>8</v>
      </c>
      <c r="B10" s="12">
        <v>7</v>
      </c>
      <c r="C10" s="12" t="s">
        <v>84</v>
      </c>
      <c r="D10" s="12"/>
      <c r="E10" s="12"/>
      <c r="F10" s="12"/>
      <c r="G10" s="12">
        <f>IF(COUNTIF(表格1[#All],$A10)&gt;0,VLOOKUP($A10,表格1[#All],2,FALSE),"")</f>
        <v>15</v>
      </c>
      <c r="H10" s="12">
        <f>IF(COUNTIF(表格1[#All],$A10)&gt;0,VLOOKUP($A10,表格1[#All],3,FALSE),"")</f>
        <v>7</v>
      </c>
      <c r="I10" s="28">
        <f>IF(COUNTIF(表格1[#All],$A10)&gt;0,VLOOKUP($A10,表格1[#All],5,FALSE),"")</f>
        <v>1</v>
      </c>
      <c r="J10" s="7">
        <v>0</v>
      </c>
      <c r="K10" s="16">
        <f>表格4[[#This Row],[影片長度(分)]]*N(MAX(表格4[[#This Row],[調整後看完率]],表格4[[#This Row],[學生觀看完成率]]))</f>
        <v>7</v>
      </c>
      <c r="L10" s="2"/>
      <c r="M10" s="12"/>
      <c r="N10" s="12" t="s">
        <v>79</v>
      </c>
      <c r="O10" s="12" t="s">
        <v>80</v>
      </c>
    </row>
    <row r="11" spans="1:15">
      <c r="A11" s="15" t="s">
        <v>9</v>
      </c>
      <c r="B11" s="12">
        <v>3</v>
      </c>
      <c r="C11" s="12" t="s">
        <v>84</v>
      </c>
      <c r="D11" s="12"/>
      <c r="E11" s="12"/>
      <c r="F11" s="12"/>
      <c r="G11" s="12">
        <f>IF(COUNTIF(表格1[#All],$A11)&gt;0,VLOOKUP($A11,表格1[#All],2,FALSE),"")</f>
        <v>14</v>
      </c>
      <c r="H11" s="12">
        <f>IF(COUNTIF(表格1[#All],$A11)&gt;0,VLOOKUP($A11,表格1[#All],3,FALSE),"")</f>
        <v>3</v>
      </c>
      <c r="I11" s="28">
        <f>IF(COUNTIF(表格1[#All],$A11)&gt;0,VLOOKUP($A11,表格1[#All],5,FALSE),"")</f>
        <v>1</v>
      </c>
      <c r="J11" s="7">
        <v>0</v>
      </c>
      <c r="K11" s="16">
        <f>表格4[[#This Row],[影片長度(分)]]*N(MAX(表格4[[#This Row],[調整後看完率]],表格4[[#This Row],[學生觀看完成率]]))</f>
        <v>3</v>
      </c>
      <c r="L11" s="2"/>
      <c r="M11" s="32" t="s">
        <v>81</v>
      </c>
      <c r="N11" s="8" cm="1">
        <f t="array" ref="N11">IFERROR(ROWS(_xlfn._xlws.FILTER(表格4[], (LEFT(表格4[影片], O111) &lt;&gt; "#") * (表格4[學生觀看次數] &lt;&gt; "")*(表格4[第一次]="v")))/表格4[[#Totals],[第一次]],0)</f>
        <v>1</v>
      </c>
      <c r="O11" s="8">
        <f>SUMIF(表格4[第一次],"v",表格4[觀看紀錄])/SUMIF(表格4[第一次],"v",表格4[影片長度(分)])</f>
        <v>1</v>
      </c>
    </row>
    <row r="12" spans="1:15">
      <c r="A12" s="15" t="s">
        <v>90</v>
      </c>
      <c r="B12" s="12">
        <v>7</v>
      </c>
      <c r="C12" s="12" t="s">
        <v>84</v>
      </c>
      <c r="D12" s="12"/>
      <c r="E12" s="12"/>
      <c r="F12" s="12"/>
      <c r="G12" s="12">
        <f>IF(COUNTIF(表格1[#All],$A12)&gt;0,VLOOKUP($A12,表格1[#All],2,FALSE),"")</f>
        <v>12</v>
      </c>
      <c r="H12" s="12">
        <f>IF(COUNTIF(表格1[#All],$A12)&gt;0,VLOOKUP($A12,表格1[#All],3,FALSE),"")</f>
        <v>7</v>
      </c>
      <c r="I12" s="28">
        <f>IF(COUNTIF(表格1[#All],$A12)&gt;0,VLOOKUP($A12,表格1[#All],5,FALSE),"")</f>
        <v>1</v>
      </c>
      <c r="J12" s="7">
        <v>0</v>
      </c>
      <c r="K12" s="16">
        <f>表格4[[#This Row],[影片長度(分)]]*N(MAX(表格4[[#This Row],[調整後看完率]],表格4[[#This Row],[學生觀看完成率]]))</f>
        <v>7</v>
      </c>
      <c r="L12" s="2"/>
      <c r="M12" s="33"/>
      <c r="N12" s="26">
        <v>1</v>
      </c>
      <c r="O12" s="26">
        <v>1</v>
      </c>
    </row>
    <row r="13" spans="1:15">
      <c r="A13" s="15" t="s">
        <v>11</v>
      </c>
      <c r="B13" s="12">
        <v>6</v>
      </c>
      <c r="C13" s="12" t="s">
        <v>84</v>
      </c>
      <c r="D13" s="12"/>
      <c r="E13" s="12"/>
      <c r="F13" s="12"/>
      <c r="G13" s="12">
        <f>IF(COUNTIF(表格1[#All],$A13)&gt;0,VLOOKUP($A13,表格1[#All],2,FALSE),"")</f>
        <v>6</v>
      </c>
      <c r="H13" s="12">
        <f>IF(COUNTIF(表格1[#All],$A13)&gt;0,VLOOKUP($A13,表格1[#All],3,FALSE),"")</f>
        <v>6</v>
      </c>
      <c r="I13" s="28">
        <f>IF(COUNTIF(表格1[#All],$A13)&gt;0,VLOOKUP($A13,表格1[#All],5,FALSE),"")</f>
        <v>1</v>
      </c>
      <c r="J13" s="7">
        <v>0</v>
      </c>
      <c r="K13" s="16">
        <f>表格4[[#This Row],[影片長度(分)]]*N(MAX(表格4[[#This Row],[調整後看完率]],表格4[[#This Row],[學生觀看完成率]]))</f>
        <v>6</v>
      </c>
      <c r="L13" s="2"/>
      <c r="M13" s="34"/>
      <c r="N13" s="9">
        <f>MIN(N11/N12, 100%)</f>
        <v>1</v>
      </c>
      <c r="O13" s="9">
        <f>MIN(O11/O12, 100%)</f>
        <v>1</v>
      </c>
    </row>
    <row r="14" spans="1:15">
      <c r="A14" s="17" t="s">
        <v>88</v>
      </c>
      <c r="B14" s="13">
        <v>23</v>
      </c>
      <c r="C14" s="12" t="s">
        <v>84</v>
      </c>
      <c r="D14" s="13"/>
      <c r="E14" s="13"/>
      <c r="F14" s="12"/>
      <c r="G14" s="13">
        <f>IF(COUNTIF(表格1[#All],$A14)&gt;0,VLOOKUP($A14,表格1[#All],2,FALSE),"")</f>
        <v>27</v>
      </c>
      <c r="H14" s="13">
        <f>IF(COUNTIF(表格1[#All],$A14)&gt;0,VLOOKUP($A14,表格1[#All],3,FALSE),"")</f>
        <v>23</v>
      </c>
      <c r="I14" s="29">
        <f>IF(COUNTIF(表格1[#All],$A14)&gt;0,VLOOKUP($A14,表格1[#All],5,FALSE),"")</f>
        <v>1</v>
      </c>
      <c r="J14" s="7">
        <v>0</v>
      </c>
      <c r="K14" s="19">
        <f>表格4[[#This Row],[影片長度(分)]]*N(MAX(表格4[[#This Row],[調整後看完率]],表格4[[#This Row],[學生觀看完成率]]))</f>
        <v>23</v>
      </c>
      <c r="L14" s="2"/>
      <c r="M14" s="32" t="s">
        <v>82</v>
      </c>
      <c r="N14" s="8" cm="1">
        <f t="array" ref="N14">IFERROR(ROWS(_xlfn._xlws.FILTER(表格4[], (LEFT(表格4[影片], 1) &lt;&gt; "#") * (表格4[學生觀看次數] &lt;&gt; "")*(表格4[第二次]="v")))/表格4[[#Totals],[第二次]],0)</f>
        <v>1</v>
      </c>
      <c r="O14" s="8">
        <f>SUMIF(表格4[第二次],"v",表格4[觀看紀錄])/SUMIF(表格4[第二次],"v",表格4[影片長度(分)])</f>
        <v>1</v>
      </c>
    </row>
    <row r="15" spans="1:15">
      <c r="A15" s="15" t="s">
        <v>87</v>
      </c>
      <c r="B15" s="12">
        <v>14</v>
      </c>
      <c r="C15" s="12" t="s">
        <v>84</v>
      </c>
      <c r="D15" s="12"/>
      <c r="E15" s="12"/>
      <c r="F15" s="12"/>
      <c r="G15" s="12">
        <f>IF(COUNTIF(表格1[#All],$A15)&gt;0,VLOOKUP($A15,表格1[#All],2,FALSE),"")</f>
        <v>4</v>
      </c>
      <c r="H15" s="12">
        <f>IF(COUNTIF(表格1[#All],$A15)&gt;0,VLOOKUP($A15,表格1[#All],3,FALSE),"")</f>
        <v>14</v>
      </c>
      <c r="I15" s="28">
        <f>IF(COUNTIF(表格1[#All],$A15)&gt;0,VLOOKUP($A15,表格1[#All],5,FALSE),"")</f>
        <v>1</v>
      </c>
      <c r="J15" s="7">
        <v>0</v>
      </c>
      <c r="K15" s="16">
        <f>表格4[[#This Row],[影片長度(分)]]*N(MAX(表格4[[#This Row],[調整後看完率]],表格4[[#This Row],[學生觀看完成率]]))</f>
        <v>14</v>
      </c>
      <c r="L15" s="2"/>
      <c r="M15" s="33"/>
      <c r="N15" s="26">
        <v>1</v>
      </c>
      <c r="O15" s="26">
        <v>1</v>
      </c>
    </row>
    <row r="16" spans="1:15">
      <c r="A16" s="15" t="s">
        <v>12</v>
      </c>
      <c r="B16" s="10"/>
      <c r="C16" s="12"/>
      <c r="D16" s="12"/>
      <c r="E16" s="12"/>
      <c r="F16" s="12"/>
      <c r="G16" s="7" t="s">
        <v>86</v>
      </c>
      <c r="H16" s="7" t="s">
        <v>86</v>
      </c>
      <c r="I16" s="28" t="s">
        <v>86</v>
      </c>
      <c r="J16" s="7">
        <v>0</v>
      </c>
      <c r="K16" s="16">
        <f>表格4[[#This Row],[影片長度(分)]]*N(MAX(表格4[[#This Row],[調整後看完率]],表格4[[#This Row],[學生觀看完成率]]))</f>
        <v>0</v>
      </c>
      <c r="L16" s="2"/>
      <c r="M16" s="34"/>
      <c r="N16" s="9">
        <f>MIN(N14/N15, 100%)</f>
        <v>1</v>
      </c>
      <c r="O16" s="9">
        <f>MIN(O14/O15, 100%)</f>
        <v>1</v>
      </c>
    </row>
    <row r="17" spans="1:15">
      <c r="A17" s="15" t="s">
        <v>13</v>
      </c>
      <c r="B17" s="12">
        <v>2</v>
      </c>
      <c r="C17" s="12" t="s">
        <v>84</v>
      </c>
      <c r="D17" s="12"/>
      <c r="E17" s="12"/>
      <c r="F17" s="12"/>
      <c r="G17" s="12">
        <f>IF(COUNTIF(表格1[#All],$A17)&gt;0,VLOOKUP($A17,表格1[#All],2,FALSE),"")</f>
        <v>4</v>
      </c>
      <c r="H17" s="12">
        <f>IF(COUNTIF(表格1[#All],$A17)&gt;0,VLOOKUP($A17,表格1[#All],3,FALSE),"")</f>
        <v>2</v>
      </c>
      <c r="I17" s="28">
        <f>IF(COUNTIF(表格1[#All],$A17)&gt;0,VLOOKUP($A17,表格1[#All],5,FALSE),"")</f>
        <v>1</v>
      </c>
      <c r="J17" s="7">
        <v>0</v>
      </c>
      <c r="K17" s="16">
        <f>表格4[[#This Row],[影片長度(分)]]*N(MAX(表格4[[#This Row],[調整後看完率]],表格4[[#This Row],[學生觀看完成率]]))</f>
        <v>2</v>
      </c>
      <c r="L17" s="2"/>
      <c r="M17" s="32" t="s">
        <v>83</v>
      </c>
      <c r="N17" s="8" cm="1">
        <f t="array" ref="N17">IFERROR(ROWS(_xlfn._xlws.FILTER(表格4[], (LEFT(表格4[影片], 1) &lt;&gt; "#") * (表格4[學生觀看次數] &lt;&gt; "")*(表格4[第三次]="v")))/表格4[[#Totals],[第三次]],0)</f>
        <v>0.2</v>
      </c>
      <c r="O17" s="8">
        <f>SUMIF(表格4[第三次],"v",表格4[觀看紀錄])/SUMIF(表格4[第三次],"v",表格4[影片長度(分)])</f>
        <v>5.128205128205128E-2</v>
      </c>
    </row>
    <row r="18" spans="1:15">
      <c r="A18" s="15" t="s">
        <v>14</v>
      </c>
      <c r="B18" s="12">
        <v>3</v>
      </c>
      <c r="C18" s="12" t="s">
        <v>84</v>
      </c>
      <c r="D18" s="12"/>
      <c r="E18" s="12"/>
      <c r="F18" s="12"/>
      <c r="G18" s="12">
        <f>IF(COUNTIF(表格1[#All],$A18)&gt;0,VLOOKUP($A18,表格1[#All],2,FALSE),"")</f>
        <v>3</v>
      </c>
      <c r="H18" s="12">
        <f>IF(COUNTIF(表格1[#All],$A18)&gt;0,VLOOKUP($A18,表格1[#All],3,FALSE),"")</f>
        <v>3</v>
      </c>
      <c r="I18" s="28">
        <f>IF(COUNTIF(表格1[#All],$A18)&gt;0,VLOOKUP($A18,表格1[#All],5,FALSE),"")</f>
        <v>1</v>
      </c>
      <c r="J18" s="7">
        <v>0</v>
      </c>
      <c r="K18" s="16">
        <f>表格4[[#This Row],[影片長度(分)]]*N(MAX(表格4[[#This Row],[調整後看完率]],表格4[[#This Row],[學生觀看完成率]]))</f>
        <v>3</v>
      </c>
      <c r="L18" s="2"/>
      <c r="M18" s="33"/>
      <c r="N18" s="26">
        <v>1</v>
      </c>
      <c r="O18" s="26">
        <v>1</v>
      </c>
    </row>
    <row r="19" spans="1:15">
      <c r="A19" s="15" t="s">
        <v>15</v>
      </c>
      <c r="B19" s="12">
        <v>8</v>
      </c>
      <c r="C19" s="12" t="s">
        <v>84</v>
      </c>
      <c r="D19" s="12"/>
      <c r="E19" s="12"/>
      <c r="F19" s="12"/>
      <c r="G19" s="12">
        <f>IF(COUNTIF(表格1[#All],$A19)&gt;0,VLOOKUP($A19,表格1[#All],2,FALSE),"")</f>
        <v>3</v>
      </c>
      <c r="H19" s="12">
        <f>IF(COUNTIF(表格1[#All],$A19)&gt;0,VLOOKUP($A19,表格1[#All],3,FALSE),"")</f>
        <v>8</v>
      </c>
      <c r="I19" s="28">
        <f>IF(COUNTIF(表格1[#All],$A19)&gt;0,VLOOKUP($A19,表格1[#All],5,FALSE),"")</f>
        <v>1</v>
      </c>
      <c r="J19" s="7">
        <v>0</v>
      </c>
      <c r="K19" s="16">
        <f>表格4[[#This Row],[影片長度(分)]]*N(MAX(表格4[[#This Row],[調整後看完率]],表格4[[#This Row],[學生觀看完成率]]))</f>
        <v>8</v>
      </c>
      <c r="L19" s="2"/>
      <c r="M19" s="34"/>
      <c r="N19" s="9">
        <f>MIN(N17/N18, 100%)</f>
        <v>0.2</v>
      </c>
      <c r="O19" s="9">
        <f>MIN(O17/O18, 100%)</f>
        <v>5.128205128205128E-2</v>
      </c>
    </row>
    <row r="20" spans="1:15">
      <c r="A20" s="15" t="s">
        <v>16</v>
      </c>
      <c r="B20" s="12">
        <v>3</v>
      </c>
      <c r="C20" s="12" t="s">
        <v>84</v>
      </c>
      <c r="D20" s="12"/>
      <c r="E20" s="12"/>
      <c r="F20" s="12"/>
      <c r="G20" s="12">
        <f>IF(COUNTIF(表格1[#All],$A20)&gt;0,VLOOKUP($A20,表格1[#All],2,FALSE),"")</f>
        <v>21</v>
      </c>
      <c r="H20" s="12">
        <f>IF(COUNTIF(表格1[#All],$A20)&gt;0,VLOOKUP($A20,表格1[#All],3,FALSE),"")</f>
        <v>3</v>
      </c>
      <c r="I20" s="28">
        <f>IF(COUNTIF(表格1[#All],$A20)&gt;0,VLOOKUP($A20,表格1[#All],5,FALSE),"")</f>
        <v>1</v>
      </c>
      <c r="J20" s="7">
        <v>0</v>
      </c>
      <c r="K20" s="16">
        <f>表格4[[#This Row],[影片長度(分)]]*N(MAX(表格4[[#This Row],[調整後看完率]],表格4[[#This Row],[學生觀看完成率]]))</f>
        <v>3</v>
      </c>
      <c r="L20" s="2"/>
      <c r="M20" s="32" t="s">
        <v>91</v>
      </c>
      <c r="N20" s="8" cm="1">
        <f t="array" ref="N20">IFERROR(ROWS(_xlfn._xlws.FILTER(表格4[], (LEFT(表格4[影片], 1) &lt;&gt; "#") * (表格4[學生觀看次數] &lt;&gt; "")*(表格4[第四次]="v")))/表格4[[#Totals],[第四次]],0)</f>
        <v>0</v>
      </c>
      <c r="O20" s="8">
        <f>SUMIF(表格4[第四次],"v",表格4[觀看紀錄])/SUMIF(表格4[第四次],"v",表格4[影片長度(分)])</f>
        <v>0</v>
      </c>
    </row>
    <row r="21" spans="1:15">
      <c r="A21" s="15" t="s">
        <v>17</v>
      </c>
      <c r="B21" s="12">
        <v>12</v>
      </c>
      <c r="C21" s="12" t="s">
        <v>84</v>
      </c>
      <c r="D21" s="12"/>
      <c r="E21" s="12"/>
      <c r="F21" s="12"/>
      <c r="G21" s="12">
        <f>IF(COUNTIF(表格1[#All],$A21)&gt;0,VLOOKUP($A21,表格1[#All],2,FALSE),"")</f>
        <v>5</v>
      </c>
      <c r="H21" s="12">
        <f>IF(COUNTIF(表格1[#All],$A21)&gt;0,VLOOKUP($A21,表格1[#All],3,FALSE),"")</f>
        <v>12</v>
      </c>
      <c r="I21" s="28">
        <f>IF(COUNTIF(表格1[#All],$A21)&gt;0,VLOOKUP($A21,表格1[#All],5,FALSE),"")</f>
        <v>1</v>
      </c>
      <c r="J21" s="7">
        <v>0</v>
      </c>
      <c r="K21" s="16">
        <f>表格4[[#This Row],[影片長度(分)]]*N(MAX(表格4[[#This Row],[調整後看完率]],表格4[[#This Row],[學生觀看完成率]]))</f>
        <v>12</v>
      </c>
      <c r="L21" s="2"/>
      <c r="M21" s="33"/>
      <c r="N21" s="26">
        <v>1</v>
      </c>
      <c r="O21" s="26">
        <v>1</v>
      </c>
    </row>
    <row r="22" spans="1:15">
      <c r="A22" s="15" t="s">
        <v>18</v>
      </c>
      <c r="B22" s="12">
        <v>5</v>
      </c>
      <c r="C22" s="12" t="s">
        <v>84</v>
      </c>
      <c r="D22" s="12"/>
      <c r="E22" s="12"/>
      <c r="F22" s="12"/>
      <c r="G22" s="12">
        <f>IF(COUNTIF(表格1[#All],$A22)&gt;0,VLOOKUP($A22,表格1[#All],2,FALSE),"")</f>
        <v>6</v>
      </c>
      <c r="H22" s="12">
        <f>IF(COUNTIF(表格1[#All],$A22)&gt;0,VLOOKUP($A22,表格1[#All],3,FALSE),"")</f>
        <v>5</v>
      </c>
      <c r="I22" s="28">
        <f>IF(COUNTIF(表格1[#All],$A22)&gt;0,VLOOKUP($A22,表格1[#All],5,FALSE),"")</f>
        <v>1</v>
      </c>
      <c r="J22" s="7">
        <v>0</v>
      </c>
      <c r="K22" s="16">
        <f>表格4[[#This Row],[影片長度(分)]]*N(MAX(表格4[[#This Row],[調整後看完率]],表格4[[#This Row],[學生觀看完成率]]))</f>
        <v>5</v>
      </c>
      <c r="L22" s="2"/>
      <c r="M22" s="34"/>
      <c r="N22" s="9">
        <f>MIN(N20/N21, 100%)</f>
        <v>0</v>
      </c>
      <c r="O22" s="9">
        <f>MIN(O20/O21, 100%)</f>
        <v>0</v>
      </c>
    </row>
    <row r="23" spans="1:15">
      <c r="A23" s="15" t="s">
        <v>19</v>
      </c>
      <c r="B23" s="12">
        <v>4</v>
      </c>
      <c r="C23" s="12" t="s">
        <v>84</v>
      </c>
      <c r="D23" s="12"/>
      <c r="E23" s="12"/>
      <c r="F23" s="12"/>
      <c r="G23" s="12">
        <f>IF(COUNTIF(表格1[#All],$A23)&gt;0,VLOOKUP($A23,表格1[#All],2,FALSE),"")</f>
        <v>5</v>
      </c>
      <c r="H23" s="12">
        <f>IF(COUNTIF(表格1[#All],$A23)&gt;0,VLOOKUP($A23,表格1[#All],3,FALSE),"")</f>
        <v>4</v>
      </c>
      <c r="I23" s="28">
        <f>IF(COUNTIF(表格1[#All],$A23)&gt;0,VLOOKUP($A23,表格1[#All],5,FALSE),"")</f>
        <v>1</v>
      </c>
      <c r="J23" s="7">
        <v>0</v>
      </c>
      <c r="K23" s="16">
        <f>表格4[[#This Row],[影片長度(分)]]*N(MAX(表格4[[#This Row],[調整後看完率]],表格4[[#This Row],[學生觀看完成率]]))</f>
        <v>4</v>
      </c>
      <c r="L23" s="2"/>
    </row>
    <row r="24" spans="1:15">
      <c r="A24" s="15" t="s">
        <v>20</v>
      </c>
      <c r="B24" s="10"/>
      <c r="C24" s="12"/>
      <c r="D24" s="12"/>
      <c r="E24" s="12"/>
      <c r="F24" s="12"/>
      <c r="G24" s="7" t="s">
        <v>86</v>
      </c>
      <c r="H24" s="7" t="s">
        <v>86</v>
      </c>
      <c r="I24" s="28" t="s">
        <v>86</v>
      </c>
      <c r="J24" s="7">
        <v>0</v>
      </c>
      <c r="K24" s="16">
        <f>表格4[[#This Row],[影片長度(分)]]*N(MAX(表格4[[#This Row],[調整後看完率]],表格4[[#This Row],[學生觀看完成率]]))</f>
        <v>0</v>
      </c>
      <c r="L24" s="2"/>
      <c r="O24" s="1"/>
    </row>
    <row r="25" spans="1:15">
      <c r="A25" s="15" t="s">
        <v>21</v>
      </c>
      <c r="B25" s="12">
        <v>4</v>
      </c>
      <c r="C25" s="12" t="s">
        <v>84</v>
      </c>
      <c r="D25" s="12"/>
      <c r="E25" s="12"/>
      <c r="F25" s="12"/>
      <c r="G25" s="12">
        <f>IF(COUNTIF(表格1[#All],$A25)&gt;0,VLOOKUP($A25,表格1[#All],2,FALSE),"")</f>
        <v>3</v>
      </c>
      <c r="H25" s="12">
        <f>IF(COUNTIF(表格1[#All],$A25)&gt;0,VLOOKUP($A25,表格1[#All],3,FALSE),"")</f>
        <v>4</v>
      </c>
      <c r="I25" s="28">
        <f>IF(COUNTIF(表格1[#All],$A25)&gt;0,VLOOKUP($A25,表格1[#All],5,FALSE),"")</f>
        <v>1</v>
      </c>
      <c r="J25" s="7">
        <v>0</v>
      </c>
      <c r="K25" s="16">
        <f>表格4[[#This Row],[影片長度(分)]]*N(MAX(表格4[[#This Row],[調整後看完率]],表格4[[#This Row],[學生觀看完成率]]))</f>
        <v>4</v>
      </c>
      <c r="L25" s="2"/>
      <c r="O25" s="1"/>
    </row>
    <row r="26" spans="1:15">
      <c r="A26" s="15" t="s">
        <v>22</v>
      </c>
      <c r="B26" s="12">
        <v>7</v>
      </c>
      <c r="C26" s="12" t="s">
        <v>84</v>
      </c>
      <c r="D26" s="12"/>
      <c r="E26" s="12"/>
      <c r="F26" s="12"/>
      <c r="G26" s="12">
        <f>IF(COUNTIF(表格1[#All],$A26)&gt;0,VLOOKUP($A26,表格1[#All],2,FALSE),"")</f>
        <v>7</v>
      </c>
      <c r="H26" s="12">
        <f>IF(COUNTIF(表格1[#All],$A26)&gt;0,VLOOKUP($A26,表格1[#All],3,FALSE),"")</f>
        <v>7</v>
      </c>
      <c r="I26" s="28">
        <f>IF(COUNTIF(表格1[#All],$A26)&gt;0,VLOOKUP($A26,表格1[#All],5,FALSE),"")</f>
        <v>1</v>
      </c>
      <c r="J26" s="7">
        <v>0</v>
      </c>
      <c r="K26" s="16">
        <f>表格4[[#This Row],[影片長度(分)]]*N(MAX(表格4[[#This Row],[調整後看完率]],表格4[[#This Row],[學生觀看完成率]]))</f>
        <v>7</v>
      </c>
      <c r="L26" s="2"/>
      <c r="O26" s="1"/>
    </row>
    <row r="27" spans="1:15">
      <c r="A27" s="15" t="s">
        <v>23</v>
      </c>
      <c r="B27" s="12">
        <v>8</v>
      </c>
      <c r="C27" s="12" t="s">
        <v>84</v>
      </c>
      <c r="D27" s="12"/>
      <c r="E27" s="12"/>
      <c r="F27" s="12"/>
      <c r="G27" s="12">
        <f>IF(COUNTIF(表格1[#All],$A27)&gt;0,VLOOKUP($A27,表格1[#All],2,FALSE),"")</f>
        <v>5</v>
      </c>
      <c r="H27" s="12">
        <f>IF(COUNTIF(表格1[#All],$A27)&gt;0,VLOOKUP($A27,表格1[#All],3,FALSE),"")</f>
        <v>8</v>
      </c>
      <c r="I27" s="28">
        <f>IF(COUNTIF(表格1[#All],$A27)&gt;0,VLOOKUP($A27,表格1[#All],5,FALSE),"")</f>
        <v>1</v>
      </c>
      <c r="J27" s="7">
        <v>0</v>
      </c>
      <c r="K27" s="16">
        <f>表格4[[#This Row],[影片長度(分)]]*N(MAX(表格4[[#This Row],[調整後看完率]],表格4[[#This Row],[學生觀看完成率]]))</f>
        <v>8</v>
      </c>
      <c r="L27" s="2"/>
      <c r="O27" s="1"/>
    </row>
    <row r="28" spans="1:15">
      <c r="A28" s="15" t="s">
        <v>24</v>
      </c>
      <c r="B28" s="12">
        <v>3</v>
      </c>
      <c r="C28" s="12" t="s">
        <v>84</v>
      </c>
      <c r="D28" s="12"/>
      <c r="E28" s="12"/>
      <c r="F28" s="12"/>
      <c r="G28" s="12">
        <f>IF(COUNTIF(表格1[#All],$A28)&gt;0,VLOOKUP($A28,表格1[#All],2,FALSE),"")</f>
        <v>2</v>
      </c>
      <c r="H28" s="12">
        <f>IF(COUNTIF(表格1[#All],$A28)&gt;0,VLOOKUP($A28,表格1[#All],3,FALSE),"")</f>
        <v>3</v>
      </c>
      <c r="I28" s="28">
        <f>IF(COUNTIF(表格1[#All],$A28)&gt;0,VLOOKUP($A28,表格1[#All],5,FALSE),"")</f>
        <v>1</v>
      </c>
      <c r="J28" s="7">
        <v>0</v>
      </c>
      <c r="K28" s="16">
        <f>表格4[[#This Row],[影片長度(分)]]*N(MAX(表格4[[#This Row],[調整後看完率]],表格4[[#This Row],[學生觀看完成率]]))</f>
        <v>3</v>
      </c>
      <c r="L28" s="2"/>
      <c r="O28" s="1"/>
    </row>
    <row r="29" spans="1:15">
      <c r="A29" s="15" t="s">
        <v>77</v>
      </c>
      <c r="B29" s="12">
        <v>6</v>
      </c>
      <c r="C29" s="12" t="s">
        <v>84</v>
      </c>
      <c r="D29" s="12"/>
      <c r="E29" s="12"/>
      <c r="F29" s="12"/>
      <c r="G29" s="12">
        <f>IF(COUNTIF(表格1[#All],$A29)&gt;0,VLOOKUP($A29,表格1[#All],2,FALSE),"")</f>
        <v>2</v>
      </c>
      <c r="H29" s="12">
        <f>IF(COUNTIF(表格1[#All],$A29)&gt;0,VLOOKUP($A29,表格1[#All],3,FALSE),"")</f>
        <v>3</v>
      </c>
      <c r="I29" s="28">
        <f>IF(COUNTIF(表格1[#All],$A29)&gt;0,VLOOKUP($A29,表格1[#All],5,FALSE),"")</f>
        <v>1</v>
      </c>
      <c r="J29" s="7">
        <v>0</v>
      </c>
      <c r="K29" s="16">
        <f>表格4[[#This Row],[影片長度(分)]]*N(MAX(表格4[[#This Row],[調整後看完率]],表格4[[#This Row],[學生觀看完成率]]))</f>
        <v>6</v>
      </c>
      <c r="L29" s="2"/>
      <c r="O29" s="1"/>
    </row>
    <row r="30" spans="1:15">
      <c r="A30" s="15" t="s">
        <v>25</v>
      </c>
      <c r="B30" s="12">
        <v>5</v>
      </c>
      <c r="C30" s="12" t="s">
        <v>84</v>
      </c>
      <c r="D30" s="12"/>
      <c r="E30" s="12"/>
      <c r="F30" s="12"/>
      <c r="G30" s="12">
        <f>IF(COUNTIF(表格1[#All],$A30)&gt;0,VLOOKUP($A30,表格1[#All],2,FALSE),"")</f>
        <v>2</v>
      </c>
      <c r="H30" s="12">
        <f>IF(COUNTIF(表格1[#All],$A30)&gt;0,VLOOKUP($A30,表格1[#All],3,FALSE),"")</f>
        <v>5</v>
      </c>
      <c r="I30" s="28">
        <f>IF(COUNTIF(表格1[#All],$A30)&gt;0,VLOOKUP($A30,表格1[#All],5,FALSE),"")</f>
        <v>1</v>
      </c>
      <c r="J30" s="7">
        <v>0</v>
      </c>
      <c r="K30" s="16">
        <f>表格4[[#This Row],[影片長度(分)]]*N(MAX(表格4[[#This Row],[調整後看完率]],表格4[[#This Row],[學生觀看完成率]]))</f>
        <v>5</v>
      </c>
      <c r="L30" s="2"/>
      <c r="O30" s="1"/>
    </row>
    <row r="31" spans="1:15">
      <c r="A31" s="15" t="s">
        <v>26</v>
      </c>
      <c r="B31" s="12">
        <v>7</v>
      </c>
      <c r="C31" s="12" t="s">
        <v>84</v>
      </c>
      <c r="D31" s="12"/>
      <c r="E31" s="12"/>
      <c r="F31" s="12"/>
      <c r="G31" s="12">
        <f>IF(COUNTIF(表格1[#All],$A31)&gt;0,VLOOKUP($A31,表格1[#All],2,FALSE),"")</f>
        <v>1</v>
      </c>
      <c r="H31" s="12">
        <f>IF(COUNTIF(表格1[#All],$A31)&gt;0,VLOOKUP($A31,表格1[#All],3,FALSE),"")</f>
        <v>7</v>
      </c>
      <c r="I31" s="28">
        <f>IF(COUNTIF(表格1[#All],$A31)&gt;0,VLOOKUP($A31,表格1[#All],5,FALSE),"")</f>
        <v>1</v>
      </c>
      <c r="J31" s="7">
        <v>0</v>
      </c>
      <c r="K31" s="16">
        <f>表格4[[#This Row],[影片長度(分)]]*N(MAX(表格4[[#This Row],[調整後看完率]],表格4[[#This Row],[學生觀看完成率]]))</f>
        <v>7</v>
      </c>
      <c r="L31" s="2"/>
      <c r="O31" s="1"/>
    </row>
    <row r="32" spans="1:15">
      <c r="A32" s="15" t="s">
        <v>27</v>
      </c>
      <c r="B32" s="12">
        <v>2</v>
      </c>
      <c r="C32" s="12" t="s">
        <v>84</v>
      </c>
      <c r="D32" s="12"/>
      <c r="E32" s="12"/>
      <c r="F32" s="12"/>
      <c r="G32" s="12">
        <f>IF(COUNTIF(表格1[#All],$A32)&gt;0,VLOOKUP($A32,表格1[#All],2,FALSE),"")</f>
        <v>1</v>
      </c>
      <c r="H32" s="12">
        <f>IF(COUNTIF(表格1[#All],$A32)&gt;0,VLOOKUP($A32,表格1[#All],3,FALSE),"")</f>
        <v>2</v>
      </c>
      <c r="I32" s="28">
        <f>IF(COUNTIF(表格1[#All],$A32)&gt;0,VLOOKUP($A32,表格1[#All],5,FALSE),"")</f>
        <v>1</v>
      </c>
      <c r="J32" s="7">
        <v>0</v>
      </c>
      <c r="K32" s="16">
        <f>表格4[[#This Row],[影片長度(分)]]*N(MAX(表格4[[#This Row],[調整後看完率]],表格4[[#This Row],[學生觀看完成率]]))</f>
        <v>2</v>
      </c>
      <c r="L32" s="2"/>
      <c r="O32" s="1"/>
    </row>
    <row r="33" spans="1:15">
      <c r="A33" s="15" t="s">
        <v>28</v>
      </c>
      <c r="B33" s="12">
        <v>10</v>
      </c>
      <c r="C33" s="12" t="s">
        <v>84</v>
      </c>
      <c r="D33" s="12"/>
      <c r="E33" s="12"/>
      <c r="F33" s="12"/>
      <c r="G33" s="12">
        <f>IF(COUNTIF(表格1[#All],$A33)&gt;0,VLOOKUP($A33,表格1[#All],2,FALSE),"")</f>
        <v>2</v>
      </c>
      <c r="H33" s="12">
        <f>IF(COUNTIF(表格1[#All],$A33)&gt;0,VLOOKUP($A33,表格1[#All],3,FALSE),"")</f>
        <v>10</v>
      </c>
      <c r="I33" s="28">
        <f>IF(COUNTIF(表格1[#All],$A33)&gt;0,VLOOKUP($A33,表格1[#All],5,FALSE),"")</f>
        <v>1</v>
      </c>
      <c r="J33" s="7">
        <v>0</v>
      </c>
      <c r="K33" s="16">
        <f>表格4[[#This Row],[影片長度(分)]]*N(MAX(表格4[[#This Row],[調整後看完率]],表格4[[#This Row],[學生觀看完成率]]))</f>
        <v>10</v>
      </c>
      <c r="L33" s="2"/>
      <c r="O33" s="1"/>
    </row>
    <row r="34" spans="1:15">
      <c r="A34" s="15" t="s">
        <v>64</v>
      </c>
      <c r="B34" s="10"/>
      <c r="C34" s="12"/>
      <c r="D34" s="12"/>
      <c r="E34" s="12"/>
      <c r="F34" s="12"/>
      <c r="G34" s="7" t="s">
        <v>86</v>
      </c>
      <c r="H34" s="7" t="s">
        <v>86</v>
      </c>
      <c r="I34" s="28" t="s">
        <v>86</v>
      </c>
      <c r="J34" s="7">
        <v>0</v>
      </c>
      <c r="K34" s="16">
        <f>表格4[[#This Row],[影片長度(分)]]*N(MAX(表格4[[#This Row],[調整後看完率]],表格4[[#This Row],[學生觀看完成率]]))</f>
        <v>0</v>
      </c>
      <c r="L34" s="2"/>
      <c r="O34" s="1"/>
    </row>
    <row r="35" spans="1:15">
      <c r="A35" s="15" t="s">
        <v>29</v>
      </c>
      <c r="B35" s="12">
        <v>3</v>
      </c>
      <c r="C35" s="12"/>
      <c r="D35" s="12" t="s">
        <v>84</v>
      </c>
      <c r="E35" s="12"/>
      <c r="F35" s="12"/>
      <c r="G35" s="12">
        <f>IF(COUNTIF(表格1[#All],$A35)&gt;0,VLOOKUP($A35,表格1[#All],2,FALSE),"")</f>
        <v>2</v>
      </c>
      <c r="H35" s="12">
        <f>IF(COUNTIF(表格1[#All],$A35)&gt;0,VLOOKUP($A35,表格1[#All],3,FALSE),"")</f>
        <v>3</v>
      </c>
      <c r="I35" s="28">
        <f>IF(COUNTIF(表格1[#All],$A35)&gt;0,VLOOKUP($A35,表格1[#All],5,FALSE),"")</f>
        <v>1</v>
      </c>
      <c r="J35" s="7">
        <v>0</v>
      </c>
      <c r="K35" s="16">
        <f>表格4[[#This Row],[影片長度(分)]]*N(MAX(表格4[[#This Row],[調整後看完率]],表格4[[#This Row],[學生觀看完成率]]))</f>
        <v>3</v>
      </c>
      <c r="L35" s="2"/>
      <c r="O35" s="1"/>
    </row>
    <row r="36" spans="1:15">
      <c r="A36" s="15" t="s">
        <v>30</v>
      </c>
      <c r="B36" s="12">
        <v>7</v>
      </c>
      <c r="C36" s="12"/>
      <c r="D36" s="12" t="s">
        <v>84</v>
      </c>
      <c r="E36" s="12"/>
      <c r="F36" s="12"/>
      <c r="G36" s="12">
        <f>IF(COUNTIF(表格1[#All],$A36)&gt;0,VLOOKUP($A36,表格1[#All],2,FALSE),"")</f>
        <v>2</v>
      </c>
      <c r="H36" s="12">
        <f>IF(COUNTIF(表格1[#All],$A36)&gt;0,VLOOKUP($A36,表格1[#All],3,FALSE),"")</f>
        <v>7</v>
      </c>
      <c r="I36" s="28">
        <f>IF(COUNTIF(表格1[#All],$A36)&gt;0,VLOOKUP($A36,表格1[#All],5,FALSE),"")</f>
        <v>1</v>
      </c>
      <c r="J36" s="7">
        <v>0</v>
      </c>
      <c r="K36" s="16">
        <f>表格4[[#This Row],[影片長度(分)]]*N(MAX(表格4[[#This Row],[調整後看完率]],表格4[[#This Row],[學生觀看完成率]]))</f>
        <v>7</v>
      </c>
      <c r="L36" s="2"/>
      <c r="O36" s="1"/>
    </row>
    <row r="37" spans="1:15">
      <c r="A37" s="15" t="s">
        <v>31</v>
      </c>
      <c r="B37" s="12">
        <v>11</v>
      </c>
      <c r="C37" s="12"/>
      <c r="D37" s="12" t="s">
        <v>84</v>
      </c>
      <c r="E37" s="12"/>
      <c r="F37" s="12"/>
      <c r="G37" s="12">
        <f>IF(COUNTIF(表格1[#All],$A37)&gt;0,VLOOKUP($A37,表格1[#All],2,FALSE),"")</f>
        <v>2</v>
      </c>
      <c r="H37" s="12">
        <f>IF(COUNTIF(表格1[#All],$A37)&gt;0,VLOOKUP($A37,表格1[#All],3,FALSE),"")</f>
        <v>11</v>
      </c>
      <c r="I37" s="28">
        <f>IF(COUNTIF(表格1[#All],$A37)&gt;0,VLOOKUP($A37,表格1[#All],5,FALSE),"")</f>
        <v>1</v>
      </c>
      <c r="J37" s="7">
        <v>0</v>
      </c>
      <c r="K37" s="16">
        <f>表格4[[#This Row],[影片長度(分)]]*N(MAX(表格4[[#This Row],[調整後看完率]],表格4[[#This Row],[學生觀看完成率]]))</f>
        <v>11</v>
      </c>
      <c r="L37" s="2"/>
      <c r="O37" s="1"/>
    </row>
    <row r="38" spans="1:15">
      <c r="A38" s="15" t="s">
        <v>32</v>
      </c>
      <c r="B38" s="12">
        <v>11</v>
      </c>
      <c r="C38" s="12"/>
      <c r="D38" s="12" t="s">
        <v>84</v>
      </c>
      <c r="E38" s="12"/>
      <c r="F38" s="12"/>
      <c r="G38" s="12">
        <f>IF(COUNTIF(表格1[#All],$A38)&gt;0,VLOOKUP($A38,表格1[#All],2,FALSE),"")</f>
        <v>2</v>
      </c>
      <c r="H38" s="12">
        <f>IF(COUNTIF(表格1[#All],$A38)&gt;0,VLOOKUP($A38,表格1[#All],3,FALSE),"")</f>
        <v>11</v>
      </c>
      <c r="I38" s="28">
        <f>IF(COUNTIF(表格1[#All],$A38)&gt;0,VLOOKUP($A38,表格1[#All],5,FALSE),"")</f>
        <v>1</v>
      </c>
      <c r="J38" s="7">
        <v>0</v>
      </c>
      <c r="K38" s="16">
        <f>表格4[[#This Row],[影片長度(分)]]*N(MAX(表格4[[#This Row],[調整後看完率]],表格4[[#This Row],[學生觀看完成率]]))</f>
        <v>11</v>
      </c>
      <c r="L38" s="2"/>
      <c r="O38" s="1"/>
    </row>
    <row r="39" spans="1:15">
      <c r="A39" s="15" t="s">
        <v>33</v>
      </c>
      <c r="B39" s="12">
        <v>8</v>
      </c>
      <c r="C39" s="12"/>
      <c r="D39" s="12" t="s">
        <v>84</v>
      </c>
      <c r="E39" s="12"/>
      <c r="F39" s="12"/>
      <c r="G39" s="12">
        <f>IF(COUNTIF(表格1[#All],$A39)&gt;0,VLOOKUP($A39,表格1[#All],2,FALSE),"")</f>
        <v>1</v>
      </c>
      <c r="H39" s="12">
        <f>IF(COUNTIF(表格1[#All],$A39)&gt;0,VLOOKUP($A39,表格1[#All],3,FALSE),"")</f>
        <v>8</v>
      </c>
      <c r="I39" s="28">
        <f>IF(COUNTIF(表格1[#All],$A39)&gt;0,VLOOKUP($A39,表格1[#All],5,FALSE),"")</f>
        <v>1</v>
      </c>
      <c r="J39" s="7">
        <v>0</v>
      </c>
      <c r="K39" s="16">
        <f>表格4[[#This Row],[影片長度(分)]]*N(MAX(表格4[[#This Row],[調整後看完率]],表格4[[#This Row],[學生觀看完成率]]))</f>
        <v>8</v>
      </c>
      <c r="L39" s="2"/>
      <c r="O39" s="1"/>
    </row>
    <row r="40" spans="1:15">
      <c r="A40" s="15" t="s">
        <v>34</v>
      </c>
      <c r="B40" s="12">
        <v>9</v>
      </c>
      <c r="C40" s="12"/>
      <c r="D40" s="12" t="s">
        <v>84</v>
      </c>
      <c r="E40" s="12"/>
      <c r="F40" s="12"/>
      <c r="G40" s="12">
        <f>IF(COUNTIF(表格1[#All],$A40)&gt;0,VLOOKUP($A40,表格1[#All],2,FALSE),"")</f>
        <v>2</v>
      </c>
      <c r="H40" s="12">
        <f>IF(COUNTIF(表格1[#All],$A40)&gt;0,VLOOKUP($A40,表格1[#All],3,FALSE),"")</f>
        <v>8</v>
      </c>
      <c r="I40" s="28">
        <f>IF(COUNTIF(表格1[#All],$A40)&gt;0,VLOOKUP($A40,表格1[#All],5,FALSE),"")</f>
        <v>1</v>
      </c>
      <c r="J40" s="7">
        <v>0</v>
      </c>
      <c r="K40" s="16">
        <f>表格4[[#This Row],[影片長度(分)]]*N(MAX(表格4[[#This Row],[調整後看完率]],表格4[[#This Row],[學生觀看完成率]]))</f>
        <v>9</v>
      </c>
      <c r="L40" s="2"/>
      <c r="O40" s="1"/>
    </row>
    <row r="41" spans="1:15">
      <c r="A41" s="15" t="s">
        <v>35</v>
      </c>
      <c r="B41" s="12">
        <v>15</v>
      </c>
      <c r="C41" s="12"/>
      <c r="D41" s="12" t="s">
        <v>84</v>
      </c>
      <c r="E41" s="12"/>
      <c r="F41" s="12"/>
      <c r="G41" s="12">
        <f>IF(COUNTIF(表格1[#All],$A41)&gt;0,VLOOKUP($A41,表格1[#All],2,FALSE),"")</f>
        <v>13</v>
      </c>
      <c r="H41" s="12">
        <f>IF(COUNTIF(表格1[#All],$A41)&gt;0,VLOOKUP($A41,表格1[#All],3,FALSE),"")</f>
        <v>15</v>
      </c>
      <c r="I41" s="28">
        <f>IF(COUNTIF(表格1[#All],$A41)&gt;0,VLOOKUP($A41,表格1[#All],5,FALSE),"")</f>
        <v>1</v>
      </c>
      <c r="J41" s="7">
        <v>0</v>
      </c>
      <c r="K41" s="16">
        <f>表格4[[#This Row],[影片長度(分)]]*N(MAX(表格4[[#This Row],[調整後看完率]],表格4[[#This Row],[學生觀看完成率]]))</f>
        <v>15</v>
      </c>
      <c r="L41" s="2"/>
      <c r="O41" s="1"/>
    </row>
    <row r="42" spans="1:15">
      <c r="A42" s="15" t="s">
        <v>36</v>
      </c>
      <c r="B42" s="12">
        <v>15</v>
      </c>
      <c r="C42" s="12"/>
      <c r="D42" s="12" t="s">
        <v>84</v>
      </c>
      <c r="E42" s="12"/>
      <c r="F42" s="12"/>
      <c r="G42" s="12">
        <f>IF(COUNTIF(表格1[#All],$A42)&gt;0,VLOOKUP($A42,表格1[#All],2,FALSE),"")</f>
        <v>4</v>
      </c>
      <c r="H42" s="12">
        <f>IF(COUNTIF(表格1[#All],$A42)&gt;0,VLOOKUP($A42,表格1[#All],3,FALSE),"")</f>
        <v>15</v>
      </c>
      <c r="I42" s="28">
        <f>IF(COUNTIF(表格1[#All],$A42)&gt;0,VLOOKUP($A42,表格1[#All],5,FALSE),"")</f>
        <v>1</v>
      </c>
      <c r="J42" s="7">
        <v>0</v>
      </c>
      <c r="K42" s="16">
        <f>表格4[[#This Row],[影片長度(分)]]*N(MAX(表格4[[#This Row],[調整後看完率]],表格4[[#This Row],[學生觀看完成率]]))</f>
        <v>15</v>
      </c>
      <c r="L42" s="2"/>
      <c r="O42" s="1"/>
    </row>
    <row r="43" spans="1:15">
      <c r="A43" s="15" t="s">
        <v>65</v>
      </c>
      <c r="B43" s="10"/>
      <c r="C43" s="12"/>
      <c r="D43" s="12"/>
      <c r="E43" s="12"/>
      <c r="F43" s="12"/>
      <c r="G43" s="7" t="s">
        <v>86</v>
      </c>
      <c r="H43" s="7" t="s">
        <v>86</v>
      </c>
      <c r="I43" s="28" t="s">
        <v>86</v>
      </c>
      <c r="J43" s="7">
        <v>0</v>
      </c>
      <c r="K43" s="16">
        <f>表格4[[#This Row],[影片長度(分)]]*N(MAX(表格4[[#This Row],[調整後看完率]],表格4[[#This Row],[學生觀看完成率]]))</f>
        <v>0</v>
      </c>
      <c r="L43" s="2"/>
      <c r="O43" s="1"/>
    </row>
    <row r="44" spans="1:15">
      <c r="A44" s="15" t="s">
        <v>37</v>
      </c>
      <c r="B44" s="12">
        <v>4</v>
      </c>
      <c r="C44" s="12"/>
      <c r="D44" s="12"/>
      <c r="E44" s="12" t="s">
        <v>84</v>
      </c>
      <c r="F44" s="12"/>
      <c r="G44" s="12">
        <f>IF(COUNTIF(表格1[#All],$A44)&gt;0,VLOOKUP($A44,表格1[#All],2,FALSE),"")</f>
        <v>3</v>
      </c>
      <c r="H44" s="12">
        <f>IF(COUNTIF(表格1[#All],$A44)&gt;0,VLOOKUP($A44,表格1[#All],3,FALSE),"")</f>
        <v>4</v>
      </c>
      <c r="I44" s="28">
        <f>IF(COUNTIF(表格1[#All],$A44)&gt;0,VLOOKUP($A44,表格1[#All],5,FALSE),"")</f>
        <v>1</v>
      </c>
      <c r="J44" s="7">
        <v>0</v>
      </c>
      <c r="K44" s="16">
        <f>表格4[[#This Row],[影片長度(分)]]*N(MAX(表格4[[#This Row],[調整後看完率]],表格4[[#This Row],[學生觀看完成率]]))</f>
        <v>4</v>
      </c>
      <c r="L44" s="2"/>
      <c r="O44" s="1"/>
    </row>
    <row r="45" spans="1:15">
      <c r="A45" s="15" t="s">
        <v>38</v>
      </c>
      <c r="B45" s="12">
        <v>14</v>
      </c>
      <c r="C45" s="12"/>
      <c r="D45" s="12"/>
      <c r="E45" s="12" t="s">
        <v>84</v>
      </c>
      <c r="F45" s="12"/>
      <c r="G45" s="12">
        <f>IF(COUNTIF(表格1[#All],$A45)&gt;0,VLOOKUP($A45,表格1[#All],2,FALSE),"")</f>
        <v>4</v>
      </c>
      <c r="H45" s="12">
        <f>IF(COUNTIF(表格1[#All],$A45)&gt;0,VLOOKUP($A45,表格1[#All],3,FALSE),"")</f>
        <v>0</v>
      </c>
      <c r="I45" s="28">
        <f>IF(COUNTIF(表格1[#All],$A45)&gt;0,VLOOKUP($A45,表格1[#All],5,FALSE),"")</f>
        <v>0</v>
      </c>
      <c r="J45" s="7">
        <v>0</v>
      </c>
      <c r="K45" s="16">
        <f>表格4[[#This Row],[影片長度(分)]]*N(MAX(表格4[[#This Row],[調整後看完率]],表格4[[#This Row],[學生觀看完成率]]))</f>
        <v>0</v>
      </c>
      <c r="L45" s="2"/>
      <c r="O45" s="1"/>
    </row>
    <row r="46" spans="1:15">
      <c r="A46" s="15" t="s">
        <v>39</v>
      </c>
      <c r="B46" s="12">
        <v>13</v>
      </c>
      <c r="C46" s="12"/>
      <c r="D46" s="12"/>
      <c r="E46" s="12" t="s">
        <v>84</v>
      </c>
      <c r="F46" s="12"/>
      <c r="G46" s="12" t="str">
        <f>IF(COUNTIF(表格1[#All],$A46)&gt;0,VLOOKUP($A46,表格1[#All],2,FALSE),"")</f>
        <v/>
      </c>
      <c r="H46" s="12" t="str">
        <f>IF(COUNTIF(表格1[#All],$A46)&gt;0,VLOOKUP($A46,表格1[#All],3,FALSE),"")</f>
        <v/>
      </c>
      <c r="I46" s="28" t="str">
        <f>IF(COUNTIF(表格1[#All],$A46)&gt;0,VLOOKUP($A46,表格1[#All],5,FALSE),"")</f>
        <v/>
      </c>
      <c r="J46" s="7">
        <v>0</v>
      </c>
      <c r="K46" s="16">
        <f>表格4[[#This Row],[影片長度(分)]]*N(MAX(表格4[[#This Row],[調整後看完率]],表格4[[#This Row],[學生觀看完成率]]))</f>
        <v>0</v>
      </c>
      <c r="L46" s="2"/>
      <c r="O46" s="1"/>
    </row>
    <row r="47" spans="1:15">
      <c r="A47" s="15" t="s">
        <v>40</v>
      </c>
      <c r="B47" s="12">
        <v>5</v>
      </c>
      <c r="C47" s="12"/>
      <c r="D47" s="12"/>
      <c r="E47" s="12" t="s">
        <v>84</v>
      </c>
      <c r="F47" s="12"/>
      <c r="G47" s="12" t="str">
        <f>IF(COUNTIF(表格1[#All],$A47)&gt;0,VLOOKUP($A47,表格1[#All],2,FALSE),"")</f>
        <v/>
      </c>
      <c r="H47" s="12" t="str">
        <f>IF(COUNTIF(表格1[#All],$A47)&gt;0,VLOOKUP($A47,表格1[#All],3,FALSE),"")</f>
        <v/>
      </c>
      <c r="I47" s="28" t="str">
        <f>IF(COUNTIF(表格1[#All],$A47)&gt;0,VLOOKUP($A47,表格1[#All],5,FALSE),"")</f>
        <v/>
      </c>
      <c r="J47" s="7">
        <v>0</v>
      </c>
      <c r="K47" s="16">
        <f>表格4[[#This Row],[影片長度(分)]]*N(MAX(表格4[[#This Row],[調整後看完率]],表格4[[#This Row],[學生觀看完成率]]))</f>
        <v>0</v>
      </c>
      <c r="L47" s="2"/>
      <c r="O47" s="1"/>
    </row>
    <row r="48" spans="1:15">
      <c r="A48" s="15" t="s">
        <v>41</v>
      </c>
      <c r="B48" s="12">
        <v>7</v>
      </c>
      <c r="C48" s="12"/>
      <c r="D48" s="12"/>
      <c r="E48" s="12" t="s">
        <v>84</v>
      </c>
      <c r="F48" s="12"/>
      <c r="G48" s="12" t="str">
        <f>IF(COUNTIF(表格1[#All],$A48)&gt;0,VLOOKUP($A48,表格1[#All],2,FALSE),"")</f>
        <v/>
      </c>
      <c r="H48" s="12" t="str">
        <f>IF(COUNTIF(表格1[#All],$A48)&gt;0,VLOOKUP($A48,表格1[#All],3,FALSE),"")</f>
        <v/>
      </c>
      <c r="I48" s="28" t="str">
        <f>IF(COUNTIF(表格1[#All],$A48)&gt;0,VLOOKUP($A48,表格1[#All],5,FALSE),"")</f>
        <v/>
      </c>
      <c r="J48" s="7">
        <v>0</v>
      </c>
      <c r="K48" s="16">
        <f>表格4[[#This Row],[影片長度(分)]]*N(MAX(表格4[[#This Row],[調整後看完率]],表格4[[#This Row],[學生觀看完成率]]))</f>
        <v>0</v>
      </c>
      <c r="L48" s="2"/>
      <c r="O48" s="1"/>
    </row>
    <row r="49" spans="1:15">
      <c r="A49" s="15" t="s">
        <v>42</v>
      </c>
      <c r="B49" s="12">
        <v>7</v>
      </c>
      <c r="C49" s="12"/>
      <c r="D49" s="12"/>
      <c r="E49" s="12" t="s">
        <v>84</v>
      </c>
      <c r="F49" s="12"/>
      <c r="G49" s="12" t="str">
        <f>IF(COUNTIF(表格1[#All],$A49)&gt;0,VLOOKUP($A49,表格1[#All],2,FALSE),"")</f>
        <v/>
      </c>
      <c r="H49" s="12" t="str">
        <f>IF(COUNTIF(表格1[#All],$A49)&gt;0,VLOOKUP($A49,表格1[#All],3,FALSE),"")</f>
        <v/>
      </c>
      <c r="I49" s="28" t="str">
        <f>IF(COUNTIF(表格1[#All],$A49)&gt;0,VLOOKUP($A49,表格1[#All],5,FALSE),"")</f>
        <v/>
      </c>
      <c r="J49" s="7">
        <v>0</v>
      </c>
      <c r="K49" s="16">
        <f>表格4[[#This Row],[影片長度(分)]]*N(MAX(表格4[[#This Row],[調整後看完率]],表格4[[#This Row],[學生觀看完成率]]))</f>
        <v>0</v>
      </c>
      <c r="L49" s="2"/>
      <c r="O49" s="1"/>
    </row>
    <row r="50" spans="1:15">
      <c r="A50" s="15" t="s">
        <v>43</v>
      </c>
      <c r="B50" s="12">
        <v>10</v>
      </c>
      <c r="C50" s="12"/>
      <c r="D50" s="12"/>
      <c r="E50" s="12" t="s">
        <v>84</v>
      </c>
      <c r="F50" s="12"/>
      <c r="G50" s="12" t="str">
        <f>IF(COUNTIF(表格1[#All],$A50)&gt;0,VLOOKUP($A50,表格1[#All],2,FALSE),"")</f>
        <v/>
      </c>
      <c r="H50" s="12" t="str">
        <f>IF(COUNTIF(表格1[#All],$A50)&gt;0,VLOOKUP($A50,表格1[#All],3,FALSE),"")</f>
        <v/>
      </c>
      <c r="I50" s="28" t="str">
        <f>IF(COUNTIF(表格1[#All],$A50)&gt;0,VLOOKUP($A50,表格1[#All],5,FALSE),"")</f>
        <v/>
      </c>
      <c r="J50" s="7">
        <v>0</v>
      </c>
      <c r="K50" s="16">
        <f>表格4[[#This Row],[影片長度(分)]]*N(MAX(表格4[[#This Row],[調整後看完率]],表格4[[#This Row],[學生觀看完成率]]))</f>
        <v>0</v>
      </c>
      <c r="L50" s="2"/>
      <c r="O50" s="1"/>
    </row>
    <row r="51" spans="1:15">
      <c r="A51" s="15" t="s">
        <v>44</v>
      </c>
      <c r="B51" s="12">
        <v>4</v>
      </c>
      <c r="C51" s="12"/>
      <c r="D51" s="12"/>
      <c r="E51" s="12" t="s">
        <v>84</v>
      </c>
      <c r="F51" s="12"/>
      <c r="G51" s="12" t="str">
        <f>IF(COUNTIF(表格1[#All],$A51)&gt;0,VLOOKUP($A51,表格1[#All],2,FALSE),"")</f>
        <v/>
      </c>
      <c r="H51" s="12" t="str">
        <f>IF(COUNTIF(表格1[#All],$A51)&gt;0,VLOOKUP($A51,表格1[#All],3,FALSE),"")</f>
        <v/>
      </c>
      <c r="I51" s="28" t="str">
        <f>IF(COUNTIF(表格1[#All],$A51)&gt;0,VLOOKUP($A51,表格1[#All],5,FALSE),"")</f>
        <v/>
      </c>
      <c r="J51" s="7">
        <v>0</v>
      </c>
      <c r="K51" s="16">
        <f>表格4[[#This Row],[影片長度(分)]]*N(MAX(表格4[[#This Row],[調整後看完率]],表格4[[#This Row],[學生觀看完成率]]))</f>
        <v>0</v>
      </c>
      <c r="L51" s="2"/>
      <c r="O51" s="1"/>
    </row>
    <row r="52" spans="1:15">
      <c r="A52" s="15" t="s">
        <v>45</v>
      </c>
      <c r="B52" s="12">
        <v>3</v>
      </c>
      <c r="C52" s="12"/>
      <c r="D52" s="12"/>
      <c r="E52" s="12" t="s">
        <v>84</v>
      </c>
      <c r="F52" s="12"/>
      <c r="G52" s="12" t="str">
        <f>IF(COUNTIF(表格1[#All],$A52)&gt;0,VLOOKUP($A52,表格1[#All],2,FALSE),"")</f>
        <v/>
      </c>
      <c r="H52" s="12" t="str">
        <f>IF(COUNTIF(表格1[#All],$A52)&gt;0,VLOOKUP($A52,表格1[#All],3,FALSE),"")</f>
        <v/>
      </c>
      <c r="I52" s="28" t="str">
        <f>IF(COUNTIF(表格1[#All],$A52)&gt;0,VLOOKUP($A52,表格1[#All],5,FALSE),"")</f>
        <v/>
      </c>
      <c r="J52" s="7">
        <v>0</v>
      </c>
      <c r="K52" s="16">
        <f>表格4[[#This Row],[影片長度(分)]]*N(MAX(表格4[[#This Row],[調整後看完率]],表格4[[#This Row],[學生觀看完成率]]))</f>
        <v>0</v>
      </c>
      <c r="L52" s="2"/>
      <c r="O52" s="1"/>
    </row>
    <row r="53" spans="1:15">
      <c r="A53" s="15" t="s">
        <v>46</v>
      </c>
      <c r="B53" s="12">
        <v>11</v>
      </c>
      <c r="C53" s="12"/>
      <c r="D53" s="12"/>
      <c r="E53" s="12" t="s">
        <v>84</v>
      </c>
      <c r="F53" s="12"/>
      <c r="G53" s="12" t="str">
        <f>IF(COUNTIF(表格1[#All],$A53)&gt;0,VLOOKUP($A53,表格1[#All],2,FALSE),"")</f>
        <v/>
      </c>
      <c r="H53" s="12" t="str">
        <f>IF(COUNTIF(表格1[#All],$A53)&gt;0,VLOOKUP($A53,表格1[#All],3,FALSE),"")</f>
        <v/>
      </c>
      <c r="I53" s="28" t="str">
        <f>IF(COUNTIF(表格1[#All],$A53)&gt;0,VLOOKUP($A53,表格1[#All],5,FALSE),"")</f>
        <v/>
      </c>
      <c r="J53" s="7">
        <v>0</v>
      </c>
      <c r="K53" s="16">
        <f>表格4[[#This Row],[影片長度(分)]]*N(MAX(表格4[[#This Row],[調整後看完率]],表格4[[#This Row],[學生觀看完成率]]))</f>
        <v>0</v>
      </c>
      <c r="L53" s="2"/>
      <c r="O53" s="1"/>
    </row>
    <row r="54" spans="1:15">
      <c r="A54" s="15" t="s">
        <v>66</v>
      </c>
      <c r="B54" s="10"/>
      <c r="C54" s="12"/>
      <c r="D54" s="12"/>
      <c r="E54" s="12"/>
      <c r="F54" s="12"/>
      <c r="G54" s="7" t="s">
        <v>86</v>
      </c>
      <c r="H54" s="7" t="s">
        <v>86</v>
      </c>
      <c r="I54" s="28" t="s">
        <v>86</v>
      </c>
      <c r="J54" s="7">
        <v>0</v>
      </c>
      <c r="K54" s="16">
        <f>表格4[[#This Row],[影片長度(分)]]*N(MAX(表格4[[#This Row],[調整後看完率]],表格4[[#This Row],[學生觀看完成率]]))</f>
        <v>0</v>
      </c>
      <c r="L54" s="2"/>
      <c r="O54" s="1"/>
    </row>
    <row r="55" spans="1:15">
      <c r="A55" s="15" t="s">
        <v>47</v>
      </c>
      <c r="B55" s="12">
        <v>4</v>
      </c>
      <c r="C55" s="12"/>
      <c r="D55" s="12"/>
      <c r="E55" s="12"/>
      <c r="F55" s="12" t="s">
        <v>84</v>
      </c>
      <c r="G55" s="12" t="str">
        <f>IF(COUNTIF(表格1[#All],$A55)&gt;0,VLOOKUP($A55,表格1[#All],2,FALSE),"")</f>
        <v/>
      </c>
      <c r="H55" s="12" t="str">
        <f>IF(COUNTIF(表格1[#All],$A55)&gt;0,VLOOKUP($A55,表格1[#All],3,FALSE),"")</f>
        <v/>
      </c>
      <c r="I55" s="28" t="str">
        <f>IF(COUNTIF(表格1[#All],$A55)&gt;0,VLOOKUP($A55,表格1[#All],5,FALSE),"")</f>
        <v/>
      </c>
      <c r="J55" s="7">
        <v>0</v>
      </c>
      <c r="K55" s="16">
        <f>表格4[[#This Row],[影片長度(分)]]*N(MAX(表格4[[#This Row],[調整後看完率]],表格4[[#This Row],[學生觀看完成率]]))</f>
        <v>0</v>
      </c>
      <c r="L55" s="2"/>
      <c r="O55" s="1"/>
    </row>
    <row r="56" spans="1:15">
      <c r="A56" s="15" t="s">
        <v>48</v>
      </c>
      <c r="B56" s="12">
        <v>12</v>
      </c>
      <c r="C56" s="12"/>
      <c r="D56" s="12"/>
      <c r="E56" s="12"/>
      <c r="F56" s="12" t="s">
        <v>84</v>
      </c>
      <c r="G56" s="12" t="str">
        <f>IF(COUNTIF(表格1[#All],$A56)&gt;0,VLOOKUP($A56,表格1[#All],2,FALSE),"")</f>
        <v/>
      </c>
      <c r="H56" s="12" t="str">
        <f>IF(COUNTIF(表格1[#All],$A56)&gt;0,VLOOKUP($A56,表格1[#All],3,FALSE),"")</f>
        <v/>
      </c>
      <c r="I56" s="28" t="str">
        <f>IF(COUNTIF(表格1[#All],$A56)&gt;0,VLOOKUP($A56,表格1[#All],5,FALSE),"")</f>
        <v/>
      </c>
      <c r="J56" s="7">
        <v>0</v>
      </c>
      <c r="K56" s="16">
        <f>表格4[[#This Row],[影片長度(分)]]*N(MAX(表格4[[#This Row],[調整後看完率]],表格4[[#This Row],[學生觀看完成率]]))</f>
        <v>0</v>
      </c>
      <c r="L56" s="2"/>
      <c r="O56" s="1"/>
    </row>
    <row r="57" spans="1:15">
      <c r="A57" s="15" t="s">
        <v>49</v>
      </c>
      <c r="B57" s="12">
        <v>13</v>
      </c>
      <c r="C57" s="12"/>
      <c r="D57" s="12"/>
      <c r="E57" s="12"/>
      <c r="F57" s="12" t="s">
        <v>84</v>
      </c>
      <c r="G57" s="12" t="str">
        <f>IF(COUNTIF(表格1[#All],$A57)&gt;0,VLOOKUP($A57,表格1[#All],2,FALSE),"")</f>
        <v/>
      </c>
      <c r="H57" s="12" t="str">
        <f>IF(COUNTIF(表格1[#All],$A57)&gt;0,VLOOKUP($A57,表格1[#All],3,FALSE),"")</f>
        <v/>
      </c>
      <c r="I57" s="28" t="str">
        <f>IF(COUNTIF(表格1[#All],$A57)&gt;0,VLOOKUP($A57,表格1[#All],5,FALSE),"")</f>
        <v/>
      </c>
      <c r="J57" s="7">
        <v>0</v>
      </c>
      <c r="K57" s="16">
        <f>表格4[[#This Row],[影片長度(分)]]*N(MAX(表格4[[#This Row],[調整後看完率]],表格4[[#This Row],[學生觀看完成率]]))</f>
        <v>0</v>
      </c>
      <c r="L57" s="2"/>
      <c r="O57" s="1"/>
    </row>
    <row r="58" spans="1:15">
      <c r="A58" s="15" t="s">
        <v>50</v>
      </c>
      <c r="B58" s="12">
        <v>5</v>
      </c>
      <c r="C58" s="12"/>
      <c r="D58" s="12"/>
      <c r="E58" s="12"/>
      <c r="F58" s="12" t="s">
        <v>84</v>
      </c>
      <c r="G58" s="12" t="str">
        <f>IF(COUNTIF(表格1[#All],$A58)&gt;0,VLOOKUP($A58,表格1[#All],2,FALSE),"")</f>
        <v/>
      </c>
      <c r="H58" s="12" t="str">
        <f>IF(COUNTIF(表格1[#All],$A58)&gt;0,VLOOKUP($A58,表格1[#All],3,FALSE),"")</f>
        <v/>
      </c>
      <c r="I58" s="28" t="str">
        <f>IF(COUNTIF(表格1[#All],$A58)&gt;0,VLOOKUP($A58,表格1[#All],5,FALSE),"")</f>
        <v/>
      </c>
      <c r="J58" s="7">
        <v>0</v>
      </c>
      <c r="K58" s="16">
        <f>表格4[[#This Row],[影片長度(分)]]*N(MAX(表格4[[#This Row],[調整後看完率]],表格4[[#This Row],[學生觀看完成率]]))</f>
        <v>0</v>
      </c>
      <c r="L58" s="2"/>
      <c r="O58" s="1"/>
    </row>
    <row r="59" spans="1:15">
      <c r="A59" s="15" t="s">
        <v>51</v>
      </c>
      <c r="B59" s="12">
        <v>7</v>
      </c>
      <c r="C59" s="12"/>
      <c r="D59" s="12"/>
      <c r="E59" s="12"/>
      <c r="F59" s="12" t="s">
        <v>84</v>
      </c>
      <c r="G59" s="12" t="str">
        <f>IF(COUNTIF(表格1[#All],$A59)&gt;0,VLOOKUP($A59,表格1[#All],2,FALSE),"")</f>
        <v/>
      </c>
      <c r="H59" s="12" t="str">
        <f>IF(COUNTIF(表格1[#All],$A59)&gt;0,VLOOKUP($A59,表格1[#All],3,FALSE),"")</f>
        <v/>
      </c>
      <c r="I59" s="28" t="str">
        <f>IF(COUNTIF(表格1[#All],$A59)&gt;0,VLOOKUP($A59,表格1[#All],5,FALSE),"")</f>
        <v/>
      </c>
      <c r="J59" s="7">
        <v>0</v>
      </c>
      <c r="K59" s="16">
        <f>表格4[[#This Row],[影片長度(分)]]*N(MAX(表格4[[#This Row],[調整後看完率]],表格4[[#This Row],[學生觀看完成率]]))</f>
        <v>0</v>
      </c>
      <c r="L59" s="2"/>
      <c r="O59" s="1"/>
    </row>
    <row r="60" spans="1:15">
      <c r="A60" s="15" t="s">
        <v>52</v>
      </c>
      <c r="B60" s="12">
        <v>10</v>
      </c>
      <c r="C60" s="12"/>
      <c r="D60" s="12"/>
      <c r="E60" s="12"/>
      <c r="F60" s="12" t="s">
        <v>84</v>
      </c>
      <c r="G60" s="12" t="str">
        <f>IF(COUNTIF(表格1[#All],$A60)&gt;0,VLOOKUP($A60,表格1[#All],2,FALSE),"")</f>
        <v/>
      </c>
      <c r="H60" s="12" t="str">
        <f>IF(COUNTIF(表格1[#All],$A60)&gt;0,VLOOKUP($A60,表格1[#All],3,FALSE),"")</f>
        <v/>
      </c>
      <c r="I60" s="28" t="str">
        <f>IF(COUNTIF(表格1[#All],$A60)&gt;0,VLOOKUP($A60,表格1[#All],5,FALSE),"")</f>
        <v/>
      </c>
      <c r="J60" s="7">
        <v>0</v>
      </c>
      <c r="K60" s="16">
        <f>表格4[[#This Row],[影片長度(分)]]*N(MAX(表格4[[#This Row],[調整後看完率]],表格4[[#This Row],[學生觀看完成率]]))</f>
        <v>0</v>
      </c>
      <c r="L60" s="2"/>
      <c r="O60" s="1"/>
    </row>
    <row r="61" spans="1:15">
      <c r="A61" s="15" t="s">
        <v>53</v>
      </c>
      <c r="B61" s="12">
        <v>13</v>
      </c>
      <c r="C61" s="12"/>
      <c r="D61" s="12"/>
      <c r="E61" s="12"/>
      <c r="F61" s="12" t="s">
        <v>84</v>
      </c>
      <c r="G61" s="12" t="str">
        <f>IF(COUNTIF(表格1[#All],$A61)&gt;0,VLOOKUP($A61,表格1[#All],2,FALSE),"")</f>
        <v/>
      </c>
      <c r="H61" s="12" t="str">
        <f>IF(COUNTIF(表格1[#All],$A61)&gt;0,VLOOKUP($A61,表格1[#All],3,FALSE),"")</f>
        <v/>
      </c>
      <c r="I61" s="28" t="str">
        <f>IF(COUNTIF(表格1[#All],$A61)&gt;0,VLOOKUP($A61,表格1[#All],5,FALSE),"")</f>
        <v/>
      </c>
      <c r="J61" s="7">
        <v>0</v>
      </c>
      <c r="K61" s="16">
        <f>表格4[[#This Row],[影片長度(分)]]*N(MAX(表格4[[#This Row],[調整後看完率]],表格4[[#This Row],[學生觀看完成率]]))</f>
        <v>0</v>
      </c>
      <c r="L61" s="2"/>
      <c r="O61" s="1"/>
    </row>
    <row r="62" spans="1:15">
      <c r="A62" s="15" t="s">
        <v>54</v>
      </c>
      <c r="B62" s="12">
        <v>6</v>
      </c>
      <c r="C62" s="12"/>
      <c r="D62" s="12"/>
      <c r="E62" s="12"/>
      <c r="F62" s="12" t="s">
        <v>84</v>
      </c>
      <c r="G62" s="12" t="str">
        <f>IF(COUNTIF(表格1[#All],$A62)&gt;0,VLOOKUP($A62,表格1[#All],2,FALSE),"")</f>
        <v/>
      </c>
      <c r="H62" s="12" t="str">
        <f>IF(COUNTIF(表格1[#All],$A62)&gt;0,VLOOKUP($A62,表格1[#All],3,FALSE),"")</f>
        <v/>
      </c>
      <c r="I62" s="28" t="str">
        <f>IF(COUNTIF(表格1[#All],$A62)&gt;0,VLOOKUP($A62,表格1[#All],5,FALSE),"")</f>
        <v/>
      </c>
      <c r="J62" s="7">
        <v>0</v>
      </c>
      <c r="K62" s="16">
        <f>表格4[[#This Row],[影片長度(分)]]*N(MAX(表格4[[#This Row],[調整後看完率]],表格4[[#This Row],[學生觀看完成率]]))</f>
        <v>0</v>
      </c>
      <c r="L62" s="2"/>
      <c r="O62" s="1"/>
    </row>
    <row r="63" spans="1:15">
      <c r="A63" s="15" t="s">
        <v>55</v>
      </c>
      <c r="B63" s="12">
        <v>10</v>
      </c>
      <c r="C63" s="12"/>
      <c r="D63" s="12"/>
      <c r="E63" s="12"/>
      <c r="F63" s="12" t="s">
        <v>84</v>
      </c>
      <c r="G63" s="12" t="str">
        <f>IF(COUNTIF(表格1[#All],$A63)&gt;0,VLOOKUP($A63,表格1[#All],2,FALSE),"")</f>
        <v/>
      </c>
      <c r="H63" s="12" t="str">
        <f>IF(COUNTIF(表格1[#All],$A63)&gt;0,VLOOKUP($A63,表格1[#All],3,FALSE),"")</f>
        <v/>
      </c>
      <c r="I63" s="28" t="str">
        <f>IF(COUNTIF(表格1[#All],$A63)&gt;0,VLOOKUP($A63,表格1[#All],5,FALSE),"")</f>
        <v/>
      </c>
      <c r="J63" s="7">
        <v>0</v>
      </c>
      <c r="K63" s="16">
        <f>表格4[[#This Row],[影片長度(分)]]*N(MAX(表格4[[#This Row],[調整後看完率]],表格4[[#This Row],[學生觀看完成率]]))</f>
        <v>0</v>
      </c>
      <c r="L63" s="2"/>
      <c r="O63" s="1"/>
    </row>
    <row r="64" spans="1:15">
      <c r="A64" s="15" t="s">
        <v>56</v>
      </c>
      <c r="B64" s="12">
        <v>9</v>
      </c>
      <c r="C64" s="12"/>
      <c r="D64" s="12"/>
      <c r="E64" s="12"/>
      <c r="F64" s="12" t="s">
        <v>84</v>
      </c>
      <c r="G64" s="12" t="str">
        <f>IF(COUNTIF(表格1[#All],$A64)&gt;0,VLOOKUP($A64,表格1[#All],2,FALSE),"")</f>
        <v/>
      </c>
      <c r="H64" s="12" t="str">
        <f>IF(COUNTIF(表格1[#All],$A64)&gt;0,VLOOKUP($A64,表格1[#All],3,FALSE),"")</f>
        <v/>
      </c>
      <c r="I64" s="28" t="str">
        <f>IF(COUNTIF(表格1[#All],$A64)&gt;0,VLOOKUP($A64,表格1[#All],5,FALSE),"")</f>
        <v/>
      </c>
      <c r="J64" s="7">
        <v>0</v>
      </c>
      <c r="K64" s="16">
        <f>表格4[[#This Row],[影片長度(分)]]*N(MAX(表格4[[#This Row],[調整後看完率]],表格4[[#This Row],[學生觀看完成率]]))</f>
        <v>0</v>
      </c>
      <c r="L64" s="2"/>
      <c r="O64" s="1"/>
    </row>
    <row r="65" spans="1:15">
      <c r="A65" s="15" t="s">
        <v>67</v>
      </c>
      <c r="B65" s="12"/>
      <c r="C65" s="12"/>
      <c r="D65" s="12"/>
      <c r="E65" s="12"/>
      <c r="F65" s="12"/>
      <c r="G65" s="7" t="s">
        <v>86</v>
      </c>
      <c r="H65" s="7" t="s">
        <v>86</v>
      </c>
      <c r="I65" s="28" t="s">
        <v>86</v>
      </c>
      <c r="J65" s="7">
        <v>0</v>
      </c>
      <c r="K65" s="16">
        <f>表格4[[#This Row],[影片長度(分)]]*N(MAX(表格4[[#This Row],[調整後看完率]],表格4[[#This Row],[學生觀看完成率]]))</f>
        <v>0</v>
      </c>
      <c r="L65" s="2"/>
      <c r="O65" s="1"/>
    </row>
    <row r="66" spans="1:15">
      <c r="A66" s="15" t="s">
        <v>57</v>
      </c>
      <c r="B66" s="12">
        <v>5</v>
      </c>
      <c r="C66" s="12"/>
      <c r="D66" s="12"/>
      <c r="E66" s="12"/>
      <c r="F66" s="12" t="s">
        <v>84</v>
      </c>
      <c r="G66" s="12" t="str">
        <f>IF(COUNTIF(表格1[#All],$A66)&gt;0,VLOOKUP($A66,表格1[#All],2,FALSE),"")</f>
        <v/>
      </c>
      <c r="H66" s="12" t="str">
        <f>IF(COUNTIF(表格1[#All],$A66)&gt;0,VLOOKUP($A66,表格1[#All],3,FALSE),"")</f>
        <v/>
      </c>
      <c r="I66" s="28" t="str">
        <f>IF(COUNTIF(表格1[#All],$A66)&gt;0,VLOOKUP($A66,表格1[#All],5,FALSE),"")</f>
        <v/>
      </c>
      <c r="J66" s="7">
        <v>0</v>
      </c>
      <c r="K66" s="16">
        <f>表格4[[#This Row],[影片長度(分)]]*N(MAX(表格4[[#This Row],[調整後看完率]],表格4[[#This Row],[學生觀看完成率]]))</f>
        <v>0</v>
      </c>
      <c r="L66" s="2"/>
      <c r="O66" s="1"/>
    </row>
    <row r="67" spans="1:15">
      <c r="A67" s="15" t="s">
        <v>58</v>
      </c>
      <c r="B67" s="12">
        <v>7</v>
      </c>
      <c r="C67" s="12"/>
      <c r="D67" s="12"/>
      <c r="E67" s="12"/>
      <c r="F67" s="12" t="s">
        <v>84</v>
      </c>
      <c r="G67" s="12" t="str">
        <f>IF(COUNTIF(表格1[#All],$A67)&gt;0,VLOOKUP($A67,表格1[#All],2,FALSE),"")</f>
        <v/>
      </c>
      <c r="H67" s="12" t="str">
        <f>IF(COUNTIF(表格1[#All],$A67)&gt;0,VLOOKUP($A67,表格1[#All],3,FALSE),"")</f>
        <v/>
      </c>
      <c r="I67" s="28" t="str">
        <f>IF(COUNTIF(表格1[#All],$A67)&gt;0,VLOOKUP($A67,表格1[#All],5,FALSE),"")</f>
        <v/>
      </c>
      <c r="J67" s="7">
        <v>0</v>
      </c>
      <c r="K67" s="16">
        <f>表格4[[#This Row],[影片長度(分)]]*N(MAX(表格4[[#This Row],[調整後看完率]],表格4[[#This Row],[學生觀看完成率]]))</f>
        <v>0</v>
      </c>
      <c r="L67" s="2"/>
      <c r="O67" s="1"/>
    </row>
    <row r="68" spans="1:15">
      <c r="A68" s="15" t="s">
        <v>59</v>
      </c>
      <c r="B68" s="12">
        <v>4</v>
      </c>
      <c r="C68" s="12"/>
      <c r="D68" s="12"/>
      <c r="E68" s="12"/>
      <c r="F68" s="12" t="s">
        <v>84</v>
      </c>
      <c r="G68" s="12" t="str">
        <f>IF(COUNTIF(表格1[#All],$A68)&gt;0,VLOOKUP($A68,表格1[#All],2,FALSE),"")</f>
        <v/>
      </c>
      <c r="H68" s="12" t="str">
        <f>IF(COUNTIF(表格1[#All],$A68)&gt;0,VLOOKUP($A68,表格1[#All],3,FALSE),"")</f>
        <v/>
      </c>
      <c r="I68" s="28" t="str">
        <f>IF(COUNTIF(表格1[#All],$A68)&gt;0,VLOOKUP($A68,表格1[#All],5,FALSE),"")</f>
        <v/>
      </c>
      <c r="J68" s="7">
        <v>0</v>
      </c>
      <c r="K68" s="16">
        <f>表格4[[#This Row],[影片長度(分)]]*N(MAX(表格4[[#This Row],[調整後看完率]],表格4[[#This Row],[學生觀看完成率]]))</f>
        <v>0</v>
      </c>
      <c r="L68" s="2"/>
      <c r="O68" s="1"/>
    </row>
    <row r="69" spans="1:15">
      <c r="A69" s="15" t="s">
        <v>60</v>
      </c>
      <c r="B69" s="12">
        <v>5</v>
      </c>
      <c r="C69" s="12"/>
      <c r="D69" s="12"/>
      <c r="E69" s="12"/>
      <c r="F69" s="12" t="s">
        <v>84</v>
      </c>
      <c r="G69" s="12" t="str">
        <f>IF(COUNTIF(表格1[#All],$A69)&gt;0,VLOOKUP($A69,表格1[#All],2,FALSE),"")</f>
        <v/>
      </c>
      <c r="H69" s="12" t="str">
        <f>IF(COUNTIF(表格1[#All],$A69)&gt;0,VLOOKUP($A69,表格1[#All],3,FALSE),"")</f>
        <v/>
      </c>
      <c r="I69" s="28" t="str">
        <f>IF(COUNTIF(表格1[#All],$A69)&gt;0,VLOOKUP($A69,表格1[#All],5,FALSE),"")</f>
        <v/>
      </c>
      <c r="J69" s="7">
        <v>0</v>
      </c>
      <c r="K69" s="16">
        <f>表格4[[#This Row],[影片長度(分)]]*N(MAX(表格4[[#This Row],[調整後看完率]],表格4[[#This Row],[學生觀看完成率]]))</f>
        <v>0</v>
      </c>
      <c r="L69" s="2"/>
      <c r="O69" s="1"/>
    </row>
    <row r="70" spans="1:15">
      <c r="A70" s="15" t="s">
        <v>61</v>
      </c>
      <c r="B70" s="12">
        <v>5</v>
      </c>
      <c r="C70" s="12"/>
      <c r="D70" s="12"/>
      <c r="E70" s="12"/>
      <c r="F70" s="12" t="s">
        <v>84</v>
      </c>
      <c r="G70" s="12" t="str">
        <f>IF(COUNTIF(表格1[#All],$A70)&gt;0,VLOOKUP($A70,表格1[#All],2,FALSE),"")</f>
        <v/>
      </c>
      <c r="H70" s="12" t="str">
        <f>IF(COUNTIF(表格1[#All],$A70)&gt;0,VLOOKUP($A70,表格1[#All],3,FALSE),"")</f>
        <v/>
      </c>
      <c r="I70" s="28" t="str">
        <f>IF(COUNTIF(表格1[#All],$A70)&gt;0,VLOOKUP($A70,表格1[#All],5,FALSE),"")</f>
        <v/>
      </c>
      <c r="J70" s="7">
        <v>0</v>
      </c>
      <c r="K70" s="16">
        <f>表格4[[#This Row],[影片長度(分)]]*N(MAX(表格4[[#This Row],[調整後看完率]],表格4[[#This Row],[學生觀看完成率]]))</f>
        <v>0</v>
      </c>
      <c r="L70" s="2"/>
      <c r="O70" s="1"/>
    </row>
    <row r="71" spans="1:15">
      <c r="A71" s="17" t="s">
        <v>62</v>
      </c>
      <c r="B71" s="13">
        <v>3</v>
      </c>
      <c r="C71" s="13"/>
      <c r="D71" s="13"/>
      <c r="E71" s="13"/>
      <c r="F71" s="12" t="s">
        <v>84</v>
      </c>
      <c r="G71" s="13" t="str">
        <f>IF(COUNTIF(表格1[#All],$A71)&gt;0,VLOOKUP($A71,表格1[#All],2,FALSE),"")</f>
        <v/>
      </c>
      <c r="H71" s="13" t="str">
        <f>IF(COUNTIF(表格1[#All],$A71)&gt;0,VLOOKUP($A71,表格1[#All],3,FALSE),"")</f>
        <v/>
      </c>
      <c r="I71" s="29" t="str">
        <f>IF(COUNTIF(表格1[#All],$A71)&gt;0,VLOOKUP($A71,表格1[#All],5,FALSE),"")</f>
        <v/>
      </c>
      <c r="J71" s="18">
        <v>0</v>
      </c>
      <c r="K71" s="19">
        <f>表格4[[#This Row],[影片長度(分)]]*N(MAX(表格4[[#This Row],[調整後看完率]],表格4[[#This Row],[學生觀看完成率]]))</f>
        <v>0</v>
      </c>
      <c r="L71" s="2"/>
      <c r="O71" s="1"/>
    </row>
    <row r="72" spans="1:15">
      <c r="A72" s="23">
        <f>SUBTOTAL(103,表格4[影片])-7</f>
        <v>63</v>
      </c>
      <c r="B72" s="24">
        <f>SUBTOTAL(109,表格4[影片長度(分)])</f>
        <v>515</v>
      </c>
      <c r="C72" s="24">
        <f>SUBTOTAL(103,表格4[第一次])</f>
        <v>29</v>
      </c>
      <c r="D72" s="24">
        <f>SUBTOTAL(103,表格4[第二次])</f>
        <v>8</v>
      </c>
      <c r="E72" s="24">
        <f>SUBTOTAL(103,表格4[第三次])</f>
        <v>10</v>
      </c>
      <c r="F72" s="24">
        <f>SUBTOTAL(103,表格4[第四次])</f>
        <v>16</v>
      </c>
      <c r="G72" s="24"/>
      <c r="H72" s="24"/>
      <c r="I72" s="30"/>
      <c r="J72" s="24"/>
      <c r="K72" s="25"/>
      <c r="L72" s="2"/>
      <c r="O72" s="1"/>
    </row>
  </sheetData>
  <mergeCells count="7">
    <mergeCell ref="M14:M16"/>
    <mergeCell ref="M17:M19"/>
    <mergeCell ref="M20:M22"/>
    <mergeCell ref="M1:O1"/>
    <mergeCell ref="M3:M5"/>
    <mergeCell ref="M9:O9"/>
    <mergeCell ref="M11:M13"/>
  </mergeCells>
  <phoneticPr fontId="2" type="noConversion"/>
  <conditionalFormatting sqref="G1:I71">
    <cfRule type="containsBlanks" dxfId="1" priority="2">
      <formula>LEN(TRIM(G1))=0</formula>
    </cfRule>
  </conditionalFormatting>
  <conditionalFormatting sqref="I1:I71">
    <cfRule type="cellIs" dxfId="0" priority="1" stopIfTrue="1" operator="lessThan">
      <formula>100%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2E2E-B00D-4AFF-99E5-E4D87D20C65C}">
  <dimension ref="A1:E40"/>
  <sheetViews>
    <sheetView zoomScale="115" zoomScaleNormal="115" workbookViewId="0">
      <selection activeCell="A14" sqref="A14"/>
    </sheetView>
  </sheetViews>
  <sheetFormatPr baseColWidth="10" defaultColWidth="8.83203125" defaultRowHeight="15"/>
  <cols>
    <col min="1" max="1" width="46.33203125" bestFit="1" customWidth="1"/>
    <col min="2" max="5" width="14.83203125" customWidth="1"/>
  </cols>
  <sheetData>
    <row r="1" spans="1:5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>
      <c r="A2" t="s">
        <v>2</v>
      </c>
      <c r="B2">
        <v>20</v>
      </c>
      <c r="C2">
        <v>2</v>
      </c>
      <c r="D2">
        <v>15</v>
      </c>
      <c r="E2" s="3">
        <v>1</v>
      </c>
    </row>
    <row r="3" spans="1:5">
      <c r="A3" t="s">
        <v>3</v>
      </c>
      <c r="B3">
        <v>21</v>
      </c>
      <c r="C3">
        <v>5</v>
      </c>
      <c r="D3">
        <v>5</v>
      </c>
      <c r="E3" s="3">
        <v>1</v>
      </c>
    </row>
    <row r="4" spans="1:5">
      <c r="A4" t="s">
        <v>4</v>
      </c>
      <c r="B4">
        <v>20</v>
      </c>
      <c r="C4">
        <v>8</v>
      </c>
      <c r="D4">
        <v>8</v>
      </c>
      <c r="E4" s="3">
        <v>1</v>
      </c>
    </row>
    <row r="5" spans="1:5">
      <c r="A5" t="s">
        <v>5</v>
      </c>
      <c r="B5">
        <v>20</v>
      </c>
      <c r="C5">
        <v>9</v>
      </c>
      <c r="D5">
        <v>9</v>
      </c>
      <c r="E5" s="3">
        <v>1</v>
      </c>
    </row>
    <row r="6" spans="1:5">
      <c r="A6" t="s">
        <v>6</v>
      </c>
      <c r="B6">
        <v>19</v>
      </c>
      <c r="C6">
        <v>11</v>
      </c>
      <c r="D6">
        <v>11</v>
      </c>
      <c r="E6" s="3">
        <v>1</v>
      </c>
    </row>
    <row r="7" spans="1:5">
      <c r="A7" t="s">
        <v>7</v>
      </c>
      <c r="B7">
        <v>20</v>
      </c>
      <c r="C7">
        <v>14</v>
      </c>
      <c r="D7">
        <v>15</v>
      </c>
      <c r="E7" s="3">
        <v>1</v>
      </c>
    </row>
    <row r="8" spans="1:5">
      <c r="A8" t="s">
        <v>10</v>
      </c>
      <c r="B8">
        <v>12</v>
      </c>
      <c r="C8">
        <v>7</v>
      </c>
      <c r="D8">
        <v>7</v>
      </c>
      <c r="E8" s="3">
        <v>1</v>
      </c>
    </row>
    <row r="9" spans="1:5">
      <c r="A9" t="s">
        <v>25</v>
      </c>
      <c r="B9">
        <v>2</v>
      </c>
      <c r="C9">
        <v>5</v>
      </c>
      <c r="D9">
        <v>5</v>
      </c>
      <c r="E9" s="3">
        <v>1</v>
      </c>
    </row>
    <row r="10" spans="1:5">
      <c r="A10" t="s">
        <v>27</v>
      </c>
      <c r="B10">
        <v>1</v>
      </c>
      <c r="C10">
        <v>2</v>
      </c>
      <c r="D10">
        <v>2</v>
      </c>
      <c r="E10" s="3">
        <v>1</v>
      </c>
    </row>
    <row r="11" spans="1:5">
      <c r="A11" t="s">
        <v>35</v>
      </c>
      <c r="B11">
        <v>13</v>
      </c>
      <c r="C11">
        <v>15</v>
      </c>
      <c r="D11">
        <v>15</v>
      </c>
      <c r="E11" s="3">
        <v>1</v>
      </c>
    </row>
    <row r="12" spans="1:5">
      <c r="A12" t="s">
        <v>24</v>
      </c>
      <c r="B12">
        <v>2</v>
      </c>
      <c r="C12">
        <v>3</v>
      </c>
      <c r="D12">
        <v>3</v>
      </c>
      <c r="E12" s="3">
        <v>1</v>
      </c>
    </row>
    <row r="13" spans="1:5">
      <c r="A13" t="s">
        <v>77</v>
      </c>
      <c r="B13">
        <v>2</v>
      </c>
      <c r="C13">
        <v>3</v>
      </c>
      <c r="D13">
        <v>6</v>
      </c>
      <c r="E13" s="3">
        <v>1</v>
      </c>
    </row>
    <row r="14" spans="1:5">
      <c r="A14" t="s">
        <v>38</v>
      </c>
      <c r="B14">
        <v>4</v>
      </c>
      <c r="C14">
        <v>0</v>
      </c>
      <c r="D14">
        <v>14</v>
      </c>
      <c r="E14" s="3">
        <v>0</v>
      </c>
    </row>
    <row r="15" spans="1:5">
      <c r="A15" t="s">
        <v>8</v>
      </c>
      <c r="B15">
        <v>15</v>
      </c>
      <c r="C15">
        <v>7</v>
      </c>
      <c r="D15">
        <v>7</v>
      </c>
      <c r="E15" s="3">
        <v>1</v>
      </c>
    </row>
    <row r="16" spans="1:5">
      <c r="A16" t="s">
        <v>28</v>
      </c>
      <c r="B16">
        <v>2</v>
      </c>
      <c r="C16">
        <v>10</v>
      </c>
      <c r="D16">
        <v>10</v>
      </c>
      <c r="E16" s="3">
        <v>1</v>
      </c>
    </row>
    <row r="17" spans="1:5">
      <c r="A17" t="s">
        <v>9</v>
      </c>
      <c r="B17">
        <v>14</v>
      </c>
      <c r="C17">
        <v>3</v>
      </c>
      <c r="D17">
        <v>3</v>
      </c>
      <c r="E17" s="3">
        <v>1</v>
      </c>
    </row>
    <row r="18" spans="1:5">
      <c r="A18" t="s">
        <v>31</v>
      </c>
      <c r="B18">
        <v>2</v>
      </c>
      <c r="C18">
        <v>11</v>
      </c>
      <c r="D18">
        <v>11</v>
      </c>
      <c r="E18" s="3">
        <v>1</v>
      </c>
    </row>
    <row r="19" spans="1:5">
      <c r="A19" t="s">
        <v>30</v>
      </c>
      <c r="B19">
        <v>2</v>
      </c>
      <c r="C19">
        <v>7</v>
      </c>
      <c r="D19">
        <v>7</v>
      </c>
      <c r="E19" s="3">
        <v>1</v>
      </c>
    </row>
    <row r="20" spans="1:5">
      <c r="A20" t="s">
        <v>36</v>
      </c>
      <c r="B20">
        <v>4</v>
      </c>
      <c r="C20">
        <v>15</v>
      </c>
      <c r="D20">
        <v>15</v>
      </c>
      <c r="E20" s="3">
        <v>1</v>
      </c>
    </row>
    <row r="21" spans="1:5">
      <c r="A21" t="s">
        <v>1</v>
      </c>
      <c r="B21">
        <v>5</v>
      </c>
      <c r="C21">
        <v>5</v>
      </c>
      <c r="D21">
        <v>5</v>
      </c>
      <c r="E21" s="3">
        <v>1</v>
      </c>
    </row>
    <row r="22" spans="1:5">
      <c r="A22" t="s">
        <v>11</v>
      </c>
      <c r="B22">
        <v>6</v>
      </c>
      <c r="C22">
        <v>6</v>
      </c>
      <c r="D22">
        <v>6</v>
      </c>
      <c r="E22" s="3">
        <v>1</v>
      </c>
    </row>
    <row r="23" spans="1:5">
      <c r="A23" t="s">
        <v>23</v>
      </c>
      <c r="B23">
        <v>5</v>
      </c>
      <c r="C23">
        <v>8</v>
      </c>
      <c r="D23">
        <v>8</v>
      </c>
      <c r="E23" s="3">
        <v>1</v>
      </c>
    </row>
    <row r="24" spans="1:5">
      <c r="A24" t="s">
        <v>22</v>
      </c>
      <c r="B24">
        <v>7</v>
      </c>
      <c r="C24">
        <v>7</v>
      </c>
      <c r="D24">
        <v>7</v>
      </c>
      <c r="E24" s="3">
        <v>1</v>
      </c>
    </row>
    <row r="25" spans="1:5">
      <c r="A25" t="s">
        <v>33</v>
      </c>
      <c r="B25">
        <v>1</v>
      </c>
      <c r="C25">
        <v>8</v>
      </c>
      <c r="D25">
        <v>8</v>
      </c>
      <c r="E25" s="3">
        <v>1</v>
      </c>
    </row>
    <row r="26" spans="1:5">
      <c r="A26" t="s">
        <v>21</v>
      </c>
      <c r="B26">
        <v>3</v>
      </c>
      <c r="C26">
        <v>4</v>
      </c>
      <c r="D26">
        <v>4</v>
      </c>
      <c r="E26" s="3">
        <v>1</v>
      </c>
    </row>
    <row r="27" spans="1:5">
      <c r="A27" t="s">
        <v>13</v>
      </c>
      <c r="B27">
        <v>4</v>
      </c>
      <c r="C27">
        <v>2</v>
      </c>
      <c r="D27">
        <v>2</v>
      </c>
      <c r="E27" s="3">
        <v>1</v>
      </c>
    </row>
    <row r="28" spans="1:5">
      <c r="A28" t="s">
        <v>37</v>
      </c>
      <c r="B28">
        <v>3</v>
      </c>
      <c r="C28">
        <v>4</v>
      </c>
      <c r="D28">
        <v>4</v>
      </c>
      <c r="E28" s="3">
        <v>1</v>
      </c>
    </row>
    <row r="29" spans="1:5">
      <c r="A29" t="s">
        <v>29</v>
      </c>
      <c r="B29">
        <v>2</v>
      </c>
      <c r="C29">
        <v>3</v>
      </c>
      <c r="D29">
        <v>3</v>
      </c>
      <c r="E29" s="3">
        <v>1</v>
      </c>
    </row>
    <row r="30" spans="1:5">
      <c r="A30" t="s">
        <v>16</v>
      </c>
      <c r="B30">
        <v>21</v>
      </c>
      <c r="C30">
        <v>3</v>
      </c>
      <c r="D30">
        <v>3</v>
      </c>
      <c r="E30" s="3">
        <v>1</v>
      </c>
    </row>
    <row r="31" spans="1:5">
      <c r="A31" t="s">
        <v>32</v>
      </c>
      <c r="B31">
        <v>2</v>
      </c>
      <c r="C31">
        <v>11</v>
      </c>
      <c r="D31">
        <v>11</v>
      </c>
      <c r="E31" s="3">
        <v>1</v>
      </c>
    </row>
    <row r="32" spans="1:5">
      <c r="A32" t="s">
        <v>34</v>
      </c>
      <c r="B32">
        <v>2</v>
      </c>
      <c r="C32">
        <v>8</v>
      </c>
      <c r="D32">
        <v>9</v>
      </c>
      <c r="E32" s="3">
        <v>1</v>
      </c>
    </row>
    <row r="33" spans="1:5">
      <c r="A33" t="s">
        <v>14</v>
      </c>
      <c r="B33">
        <v>3</v>
      </c>
      <c r="C33">
        <v>3</v>
      </c>
      <c r="D33">
        <v>3</v>
      </c>
      <c r="E33" s="3">
        <v>1</v>
      </c>
    </row>
    <row r="34" spans="1:5">
      <c r="A34" t="s">
        <v>19</v>
      </c>
      <c r="B34">
        <v>5</v>
      </c>
      <c r="C34">
        <v>4</v>
      </c>
      <c r="D34">
        <v>4</v>
      </c>
      <c r="E34" s="3">
        <v>1</v>
      </c>
    </row>
    <row r="35" spans="1:5">
      <c r="A35" t="s">
        <v>18</v>
      </c>
      <c r="B35">
        <v>6</v>
      </c>
      <c r="C35">
        <v>5</v>
      </c>
      <c r="D35">
        <v>5</v>
      </c>
      <c r="E35" s="3">
        <v>1</v>
      </c>
    </row>
    <row r="36" spans="1:5">
      <c r="A36" t="s">
        <v>15</v>
      </c>
      <c r="B36">
        <v>3</v>
      </c>
      <c r="C36">
        <v>8</v>
      </c>
      <c r="D36">
        <v>8</v>
      </c>
      <c r="E36" s="3">
        <v>1</v>
      </c>
    </row>
    <row r="37" spans="1:5">
      <c r="A37" t="s">
        <v>17</v>
      </c>
      <c r="B37">
        <v>5</v>
      </c>
      <c r="C37">
        <v>12</v>
      </c>
      <c r="D37">
        <v>12</v>
      </c>
      <c r="E37" s="3">
        <v>1</v>
      </c>
    </row>
    <row r="38" spans="1:5">
      <c r="A38" t="s">
        <v>87</v>
      </c>
      <c r="B38">
        <v>4</v>
      </c>
      <c r="C38">
        <v>14</v>
      </c>
      <c r="D38">
        <v>14</v>
      </c>
      <c r="E38" s="3">
        <v>1</v>
      </c>
    </row>
    <row r="39" spans="1:5">
      <c r="A39" t="s">
        <v>88</v>
      </c>
      <c r="B39">
        <v>27</v>
      </c>
      <c r="C39">
        <v>23</v>
      </c>
      <c r="D39">
        <v>23</v>
      </c>
      <c r="E39" s="3">
        <v>1</v>
      </c>
    </row>
    <row r="40" spans="1:5">
      <c r="A40" t="s">
        <v>26</v>
      </c>
      <c r="B40">
        <v>1</v>
      </c>
      <c r="C40">
        <v>7</v>
      </c>
      <c r="D40">
        <v>7</v>
      </c>
      <c r="E40" s="3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影片總表</vt:lpstr>
      <vt:lpstr>學生紀錄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呂英彰</dc:creator>
  <cp:lastModifiedBy>廖書賢</cp:lastModifiedBy>
  <dcterms:created xsi:type="dcterms:W3CDTF">2025-01-03T02:10:32Z</dcterms:created>
  <dcterms:modified xsi:type="dcterms:W3CDTF">2026-03-25T13:42:42Z</dcterms:modified>
</cp:coreProperties>
</file>